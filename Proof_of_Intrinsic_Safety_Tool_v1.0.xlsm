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than\Work\Documentation\"/>
    </mc:Choice>
  </mc:AlternateContent>
  <xr:revisionPtr revIDLastSave="0" documentId="13_ncr:1_{A5669017-BC7A-4B92-B187-FA5B96732AB8}" xr6:coauthVersionLast="47" xr6:coauthVersionMax="47" xr10:uidLastSave="{00000000-0000-0000-0000-000000000000}"/>
  <workbookProtection workbookAlgorithmName="SHA-512" workbookHashValue="VdZbKozyb7cJA0f93XeZIWIwYqzU01bTcOGuecabrutp17mHibUBCPHkaCmz8xclokYAVvoVtNJqFig2Ew6BQw==" workbookSaltValue="vp+0TYt7TkPav1Xv+L5kNA==" workbookSpinCount="100000" lockStructure="1"/>
  <bookViews>
    <workbookView xWindow="18720" yWindow="0" windowWidth="19785" windowHeight="20985" xr2:uid="{2E1694CD-B3AA-460C-99DC-AE5735038623}"/>
  </bookViews>
  <sheets>
    <sheet name="Info" sheetId="3" r:id="rId1"/>
    <sheet name="Proof of I.S" sheetId="1" r:id="rId2"/>
    <sheet name="Helper Sheet" sheetId="2" state="hidden" r:id="rId3"/>
  </sheets>
  <definedNames>
    <definedName name="_xleta.PI" hidden="1" xlm="1">#NAME?</definedName>
    <definedName name="_xlnm.Print_Area" localSheetId="1">'Proof of I.S'!$B$2:$P$63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" l="1"/>
  <c r="K48" i="1"/>
  <c r="K47" i="1"/>
  <c r="N47" i="1" l="1"/>
  <c r="D47" i="1"/>
  <c r="G20" i="2" s="1"/>
  <c r="D17" i="2"/>
  <c r="H51" i="1" s="1"/>
  <c r="G21" i="2"/>
  <c r="J55" i="1" s="1"/>
  <c r="G18" i="2"/>
  <c r="J52" i="1" s="1"/>
  <c r="G17" i="2"/>
  <c r="J51" i="1" s="1"/>
  <c r="G16" i="2"/>
  <c r="J50" i="1" s="1"/>
  <c r="D18" i="2"/>
  <c r="H52" i="1" s="1"/>
  <c r="D16" i="2"/>
  <c r="H50" i="1" s="1"/>
  <c r="B34" i="1"/>
  <c r="D34" i="1"/>
  <c r="B35" i="1"/>
  <c r="D35" i="1"/>
  <c r="M34" i="1"/>
  <c r="N34" i="1"/>
  <c r="O34" i="1"/>
  <c r="M35" i="1"/>
  <c r="N35" i="1"/>
  <c r="O35" i="1"/>
  <c r="O33" i="1"/>
  <c r="N33" i="1"/>
  <c r="M33" i="1"/>
  <c r="M43" i="1"/>
  <c r="L43" i="1"/>
  <c r="K43" i="1"/>
  <c r="M42" i="1"/>
  <c r="L42" i="1"/>
  <c r="K42" i="1"/>
  <c r="M41" i="1"/>
  <c r="L41" i="1"/>
  <c r="K41" i="1"/>
  <c r="M40" i="1"/>
  <c r="L40" i="1"/>
  <c r="K40" i="1"/>
  <c r="D28" i="1"/>
  <c r="B28" i="1"/>
  <c r="D33" i="1"/>
  <c r="B33" i="1"/>
  <c r="K35" i="1"/>
  <c r="L35" i="1" s="1"/>
  <c r="K34" i="1"/>
  <c r="L34" i="1" s="1"/>
  <c r="K33" i="1"/>
  <c r="L33" i="1" s="1"/>
  <c r="M28" i="1"/>
  <c r="L28" i="1"/>
  <c r="M49" i="1" l="1"/>
  <c r="M48" i="1"/>
  <c r="M47" i="1"/>
  <c r="D21" i="2"/>
  <c r="H55" i="1" s="1"/>
  <c r="D20" i="2"/>
  <c r="H54" i="1" s="1"/>
  <c r="C54" i="1"/>
  <c r="D54" i="1"/>
  <c r="E54" i="1"/>
  <c r="G19" i="2"/>
  <c r="J53" i="1" s="1"/>
  <c r="D19" i="2"/>
  <c r="D49" i="1" l="1"/>
  <c r="H53" i="1"/>
  <c r="M50" i="1" s="1"/>
  <c r="M52" i="1" s="1"/>
  <c r="J54" i="1"/>
  <c r="M51" i="1" s="1"/>
  <c r="E53" i="1" l="1"/>
  <c r="E55" i="1" s="1"/>
  <c r="D53" i="1"/>
  <c r="D55" i="1" s="1"/>
  <c r="C53" i="1"/>
  <c r="C55" i="1" s="1"/>
  <c r="K54" i="1" l="1"/>
</calcChain>
</file>

<file path=xl/sharedStrings.xml><?xml version="1.0" encoding="utf-8"?>
<sst xmlns="http://schemas.openxmlformats.org/spreadsheetml/2006/main" count="169" uniqueCount="137">
  <si>
    <t>Hazardous Area Classification</t>
  </si>
  <si>
    <t>Zone</t>
  </si>
  <si>
    <t>Gas Group</t>
  </si>
  <si>
    <t>T-Class</t>
  </si>
  <si>
    <t>Zone 0</t>
  </si>
  <si>
    <t>Zone 1</t>
  </si>
  <si>
    <t>IIA</t>
  </si>
  <si>
    <t>T5</t>
  </si>
  <si>
    <t>Ex Category</t>
  </si>
  <si>
    <t>Ex Group</t>
  </si>
  <si>
    <t>EPL</t>
  </si>
  <si>
    <t>Lists</t>
  </si>
  <si>
    <t>Zone 2</t>
  </si>
  <si>
    <t>IIB</t>
  </si>
  <si>
    <t>IIC</t>
  </si>
  <si>
    <t>T1</t>
  </si>
  <si>
    <t>T2</t>
  </si>
  <si>
    <t>T3</t>
  </si>
  <si>
    <t>T4</t>
  </si>
  <si>
    <t>T6</t>
  </si>
  <si>
    <t>Minimum Equipment Requirements Lookup Table</t>
  </si>
  <si>
    <t>ia</t>
  </si>
  <si>
    <t>ib</t>
  </si>
  <si>
    <t>ic</t>
  </si>
  <si>
    <t>Ga</t>
  </si>
  <si>
    <t>Gb</t>
  </si>
  <si>
    <t>Gc</t>
  </si>
  <si>
    <t>Proof of Intrinsic Safety Calculations - IEC 60079</t>
  </si>
  <si>
    <t>Identification</t>
  </si>
  <si>
    <t>Circuit ID:</t>
  </si>
  <si>
    <t>xxxxx</t>
  </si>
  <si>
    <t>Peroxide Storage Tank T598 High high Level Alarm &amp; Trip</t>
  </si>
  <si>
    <t>Note:</t>
  </si>
  <si>
    <t>Ex</t>
  </si>
  <si>
    <t>Ui [V]</t>
  </si>
  <si>
    <t>Ii [mA]</t>
  </si>
  <si>
    <t>Pi [mW]</t>
  </si>
  <si>
    <t>Li [mH]</t>
  </si>
  <si>
    <t>Ci [nF]</t>
  </si>
  <si>
    <t>Calculated</t>
  </si>
  <si>
    <t>Category</t>
  </si>
  <si>
    <t>Group</t>
  </si>
  <si>
    <t>Ri [Ω]</t>
  </si>
  <si>
    <t>Li / Ri</t>
  </si>
  <si>
    <t>Uo [V]</t>
  </si>
  <si>
    <t>Io [mA]</t>
  </si>
  <si>
    <t>Po [mW]</t>
  </si>
  <si>
    <t>Lo [mH]</t>
  </si>
  <si>
    <t>Co [nF]</t>
  </si>
  <si>
    <t>Lo / Ro</t>
  </si>
  <si>
    <t>Manufacturer</t>
  </si>
  <si>
    <t>Cable type</t>
  </si>
  <si>
    <t>Lc [mH/km]</t>
  </si>
  <si>
    <t>Cc [nF/km]</t>
  </si>
  <si>
    <t>Ω / km</t>
  </si>
  <si>
    <t>Lc / Rc</t>
  </si>
  <si>
    <t>Length [m]</t>
  </si>
  <si>
    <t>Calculated for Cable Length</t>
  </si>
  <si>
    <t>Lc [mH]</t>
  </si>
  <si>
    <t>Cc [nF]</t>
  </si>
  <si>
    <t>Rc [Ω]</t>
  </si>
  <si>
    <t>Standard Value</t>
  </si>
  <si>
    <t>Worst-Case-Value</t>
  </si>
  <si>
    <t>Equipment Information</t>
  </si>
  <si>
    <t>Hazardous Area</t>
  </si>
  <si>
    <t>Safe Area</t>
  </si>
  <si>
    <t>Service:</t>
  </si>
  <si>
    <t>Model</t>
  </si>
  <si>
    <t>Description</t>
  </si>
  <si>
    <t>ATEX Marking</t>
  </si>
  <si>
    <t>Certificate Number</t>
  </si>
  <si>
    <t>ID</t>
  </si>
  <si>
    <t>VEGA</t>
  </si>
  <si>
    <t>VEGATOR 121</t>
  </si>
  <si>
    <t>Single Channel Controller</t>
  </si>
  <si>
    <t>II (1) G [Ex ia Ga] IIC</t>
  </si>
  <si>
    <t>TÜV 14 ATEX 134822 X</t>
  </si>
  <si>
    <t>Area Installed</t>
  </si>
  <si>
    <t>Safe</t>
  </si>
  <si>
    <t>Hazardous (Field)</t>
  </si>
  <si>
    <t>* Applicable to linear (simple) circuits involving a single power source and intrinsically safe apparatus, as defined by IEC 60079-14.</t>
  </si>
  <si>
    <t>Associated Electrical Apparatus (Active)</t>
  </si>
  <si>
    <t>Equipment Diagram</t>
  </si>
  <si>
    <t>Intrinsically Safe Electrical Apparatus (Passive)</t>
  </si>
  <si>
    <t>Cable Used</t>
  </si>
  <si>
    <t>Comments</t>
  </si>
  <si>
    <t>Reduction of Lo &amp; Co for mixed circuits:</t>
  </si>
  <si>
    <t>Calculated Loading on I.S. Safety Device = I.S. Field Device Entity + Cabling Parameters</t>
  </si>
  <si>
    <t>I.S. Safety Device Entity Parameters</t>
  </si>
  <si>
    <t>Ui =</t>
  </si>
  <si>
    <t>Uo =</t>
  </si>
  <si>
    <t>Ii =</t>
  </si>
  <si>
    <t>Io =</t>
  </si>
  <si>
    <t>Pi =</t>
  </si>
  <si>
    <t>Po =</t>
  </si>
  <si>
    <t>Li + Lc of all cables =</t>
  </si>
  <si>
    <t>Lo =</t>
  </si>
  <si>
    <t>Ci + Cc of all cables =</t>
  </si>
  <si>
    <t>Co =</t>
  </si>
  <si>
    <t>Li / Ri =</t>
  </si>
  <si>
    <t>Lo / Ro =</t>
  </si>
  <si>
    <t>Li + Lc ≤ Lo</t>
  </si>
  <si>
    <t>Ci + Cc ≤ Co</t>
  </si>
  <si>
    <t>Li / Ri ≤ Lo / Ro</t>
  </si>
  <si>
    <t>Final Calculations</t>
  </si>
  <si>
    <t>Ii [mA] =</t>
  </si>
  <si>
    <t>Pi [mW] =</t>
  </si>
  <si>
    <t>Ui [V] =</t>
  </si>
  <si>
    <t>Uo [V] =</t>
  </si>
  <si>
    <t>Io [mA] =</t>
  </si>
  <si>
    <t>Po [mW]=</t>
  </si>
  <si>
    <t>Lo [mH]=</t>
  </si>
  <si>
    <t>Co [nF]=</t>
  </si>
  <si>
    <t>Li + Lc of cables [mH] =</t>
  </si>
  <si>
    <t>Ci + Cc of cables [nF] =</t>
  </si>
  <si>
    <t>Conditions Satisfied</t>
  </si>
  <si>
    <t>Max. permissible cable length [m]:</t>
  </si>
  <si>
    <t>Required</t>
  </si>
  <si>
    <t>Achieved</t>
  </si>
  <si>
    <t>Equipment Markings</t>
  </si>
  <si>
    <t>Result</t>
  </si>
  <si>
    <t>Mixed Circuits</t>
  </si>
  <si>
    <t>System Summary</t>
  </si>
  <si>
    <t>Example 1.</t>
  </si>
  <si>
    <t>Example 2</t>
  </si>
  <si>
    <t>Example 3.</t>
  </si>
  <si>
    <t>Field Devices:</t>
  </si>
  <si>
    <t>Date</t>
  </si>
  <si>
    <t>Produced By</t>
  </si>
  <si>
    <t>Approved By</t>
  </si>
  <si>
    <t>Circuit ID</t>
  </si>
  <si>
    <t>X.XXXXXX</t>
  </si>
  <si>
    <t>Built by Nathan Havery</t>
  </si>
  <si>
    <t>VEGA SWING 63</t>
  </si>
  <si>
    <t>Vibrating Level Switch</t>
  </si>
  <si>
    <t>Ex ia IIC T6…T1 Ga</t>
  </si>
  <si>
    <t>PTB 00 ATEX 2216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</si>
</sst>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8"/>
      <name val="Aptos Narrow"/>
      <family val="2"/>
      <scheme val="minor"/>
    </font>
    <font>
      <b/>
      <sz val="16"/>
      <color theme="0"/>
      <name val="Segoe UI"/>
      <family val="2"/>
    </font>
    <font>
      <b/>
      <sz val="10"/>
      <color theme="0"/>
      <name val="Segoe UI"/>
      <family val="2"/>
    </font>
    <font>
      <sz val="10"/>
      <color rgb="FF212121"/>
      <name val="Segoe UI"/>
      <family val="2"/>
    </font>
    <font>
      <i/>
      <sz val="10"/>
      <color rgb="FF212121"/>
      <name val="Segoe UI"/>
      <family val="2"/>
    </font>
    <font>
      <i/>
      <sz val="8"/>
      <color rgb="FF212121"/>
      <name val="Segoe UI"/>
      <family val="2"/>
    </font>
    <font>
      <b/>
      <sz val="10"/>
      <color rgb="FF212121"/>
      <name val="Segoe UI"/>
      <family val="2"/>
    </font>
    <font>
      <sz val="11"/>
      <color rgb="FF212121"/>
      <name val="Segoe UI"/>
      <family val="2"/>
    </font>
    <font>
      <b/>
      <sz val="16"/>
      <color rgb="FF212121"/>
      <name val="Segoe UI"/>
      <family val="2"/>
    </font>
    <font>
      <sz val="11"/>
      <color rgb="FF212121"/>
      <name val="Aptos Narrow"/>
      <family val="2"/>
      <scheme val="minor"/>
    </font>
    <font>
      <sz val="9"/>
      <color rgb="FF212121"/>
      <name val="Segoe UI"/>
      <family val="2"/>
    </font>
    <font>
      <sz val="8"/>
      <color rgb="FF212121"/>
      <name val="Segoe UI"/>
      <family val="2"/>
    </font>
    <font>
      <b/>
      <sz val="12"/>
      <color theme="0"/>
      <name val="Segoe UI"/>
      <family val="2"/>
    </font>
    <font>
      <b/>
      <sz val="8"/>
      <color theme="0"/>
      <name val="Segoe UI"/>
      <family val="2"/>
    </font>
    <font>
      <u/>
      <sz val="11"/>
      <color theme="1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202D3E"/>
        <bgColor indexed="64"/>
      </patternFill>
    </fill>
    <fill>
      <patternFill patternType="solid">
        <fgColor rgb="FFF0F1ED"/>
        <bgColor indexed="64"/>
      </patternFill>
    </fill>
    <fill>
      <patternFill patternType="solid">
        <fgColor rgb="FFFBFCFA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EAEAE9"/>
        <bgColor indexed="64"/>
      </patternFill>
    </fill>
  </fills>
  <borders count="62">
    <border>
      <left/>
      <right/>
      <top/>
      <bottom/>
      <diagonal/>
    </border>
    <border>
      <left style="medium">
        <color rgb="FF202D3E"/>
      </left>
      <right/>
      <top style="medium">
        <color rgb="FF202D3E"/>
      </top>
      <bottom style="medium">
        <color rgb="FF202D3E"/>
      </bottom>
      <diagonal/>
    </border>
    <border>
      <left/>
      <right/>
      <top style="medium">
        <color rgb="FF202D3E"/>
      </top>
      <bottom style="medium">
        <color rgb="FF202D3E"/>
      </bottom>
      <diagonal/>
    </border>
    <border>
      <left/>
      <right style="medium">
        <color rgb="FF202D3E"/>
      </right>
      <top style="medium">
        <color rgb="FF202D3E"/>
      </top>
      <bottom style="medium">
        <color rgb="FF202D3E"/>
      </bottom>
      <diagonal/>
    </border>
    <border>
      <left/>
      <right/>
      <top style="medium">
        <color rgb="FF202D3E"/>
      </top>
      <bottom/>
      <diagonal/>
    </border>
    <border>
      <left/>
      <right style="medium">
        <color rgb="FF202D3E"/>
      </right>
      <top style="medium">
        <color rgb="FF202D3E"/>
      </top>
      <bottom/>
      <diagonal/>
    </border>
    <border>
      <left/>
      <right/>
      <top/>
      <bottom style="medium">
        <color rgb="FF202D3E"/>
      </bottom>
      <diagonal/>
    </border>
    <border>
      <left/>
      <right style="medium">
        <color rgb="FF202D3E"/>
      </right>
      <top/>
      <bottom style="medium">
        <color rgb="FF202D3E"/>
      </bottom>
      <diagonal/>
    </border>
    <border>
      <left style="medium">
        <color rgb="FF202D3E"/>
      </left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202D3E"/>
      </left>
      <right/>
      <top style="medium">
        <color rgb="FF202D3E"/>
      </top>
      <bottom/>
      <diagonal/>
    </border>
    <border>
      <left style="medium">
        <color rgb="FF202D3E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 style="thin">
        <color rgb="FFD9D9D9"/>
      </top>
      <bottom style="thin">
        <color rgb="FFD9D9D9"/>
      </bottom>
      <diagonal/>
    </border>
    <border>
      <left style="medium">
        <color rgb="FF202D3E"/>
      </left>
      <right style="thin">
        <color rgb="FFD9D9D9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medium">
        <color rgb="FF202D3E"/>
      </right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202D3E"/>
      </left>
      <right/>
      <top/>
      <bottom style="thin">
        <color rgb="FFD9D9D9"/>
      </bottom>
      <diagonal/>
    </border>
    <border>
      <left style="medium">
        <color rgb="FF202D3E"/>
      </left>
      <right/>
      <top style="medium">
        <color rgb="FF202D3E"/>
      </top>
      <bottom style="thin">
        <color rgb="FFD9D9D9"/>
      </bottom>
      <diagonal/>
    </border>
    <border>
      <left/>
      <right/>
      <top style="medium">
        <color rgb="FF202D3E"/>
      </top>
      <bottom style="thin">
        <color rgb="FFD9D9D9"/>
      </bottom>
      <diagonal/>
    </border>
    <border>
      <left/>
      <right style="medium">
        <color rgb="FF202D3E"/>
      </right>
      <top style="medium">
        <color rgb="FF202D3E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medium">
        <color rgb="FF202D3E"/>
      </right>
      <top style="medium">
        <color rgb="FF202D3E"/>
      </top>
      <bottom/>
      <diagonal/>
    </border>
    <border>
      <left style="thin">
        <color rgb="FFD9D9D9"/>
      </left>
      <right style="thin">
        <color rgb="FFD9D9D9"/>
      </right>
      <top style="medium">
        <color rgb="FF202D3E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202D3E"/>
      </right>
      <top/>
      <bottom/>
      <diagonal/>
    </border>
    <border>
      <left/>
      <right style="medium">
        <color rgb="FF202D3E"/>
      </right>
      <top/>
      <bottom style="thin">
        <color rgb="FFD9D9D9"/>
      </bottom>
      <diagonal/>
    </border>
    <border>
      <left style="medium">
        <color rgb="FF202D3E"/>
      </left>
      <right/>
      <top/>
      <bottom style="medium">
        <color rgb="FF202D3E"/>
      </bottom>
      <diagonal/>
    </border>
    <border>
      <left style="thin">
        <color rgb="FFD9D9D9"/>
      </left>
      <right/>
      <top/>
      <bottom style="medium">
        <color rgb="FF202D3E"/>
      </bottom>
      <diagonal/>
    </border>
    <border>
      <left/>
      <right style="thin">
        <color rgb="FFD9D9D9"/>
      </right>
      <top/>
      <bottom/>
      <diagonal/>
    </border>
    <border>
      <left style="medium">
        <color rgb="FF202D3E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/>
      <top/>
      <bottom style="thin">
        <color rgb="FFCCCCCC"/>
      </bottom>
      <diagonal/>
    </border>
    <border>
      <left style="medium">
        <color rgb="FF202D3E"/>
      </left>
      <right/>
      <top style="thin">
        <color rgb="FFCCCCCC"/>
      </top>
      <bottom style="thin">
        <color rgb="FFCCCCCC"/>
      </bottom>
      <diagonal/>
    </border>
    <border>
      <left style="medium">
        <color rgb="FF202D3E"/>
      </left>
      <right/>
      <top style="thin">
        <color rgb="FFCCCCCC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 style="medium">
        <color rgb="FF202D3E"/>
      </top>
      <bottom/>
      <diagonal/>
    </border>
    <border>
      <left style="medium">
        <color rgb="FF202D3E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medium">
        <color rgb="FF202D3E"/>
      </right>
      <top style="thin">
        <color rgb="FFD9D9D9"/>
      </top>
      <bottom/>
      <diagonal/>
    </border>
    <border>
      <left/>
      <right style="medium">
        <color rgb="FF202D3E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thin">
        <color rgb="FFD9D9D9"/>
      </right>
      <top style="medium">
        <color rgb="FF202D3E"/>
      </top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 style="medium">
        <color rgb="FF202D3E"/>
      </top>
      <bottom style="thin">
        <color rgb="FFD9D9D9"/>
      </bottom>
      <diagonal/>
    </border>
    <border>
      <left style="medium">
        <color rgb="FF202D3E"/>
      </left>
      <right/>
      <top style="thin">
        <color rgb="FFD9D9D9"/>
      </top>
      <bottom style="medium">
        <color rgb="FF202D3E"/>
      </bottom>
      <diagonal/>
    </border>
    <border>
      <left/>
      <right/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202D3E"/>
      </right>
      <top/>
      <bottom/>
      <diagonal/>
    </border>
    <border>
      <left style="thin">
        <color rgb="FFD9D9D9"/>
      </left>
      <right/>
      <top style="medium">
        <color rgb="FF202D3E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250">
    <xf numFmtId="0" fontId="0" fillId="0" borderId="0" xfId="0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5" fillId="3" borderId="16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9" fillId="0" borderId="0" xfId="0" applyFont="1"/>
    <xf numFmtId="0" fontId="8" fillId="0" borderId="0" xfId="0" applyFont="1" applyAlignment="1">
      <alignment vertical="center"/>
    </xf>
    <xf numFmtId="0" fontId="5" fillId="0" borderId="0" xfId="0" applyFont="1"/>
    <xf numFmtId="0" fontId="8" fillId="7" borderId="0" xfId="0" applyFont="1" applyFill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13" fillId="5" borderId="1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right" vertical="center"/>
    </xf>
    <xf numFmtId="0" fontId="5" fillId="5" borderId="13" xfId="0" applyFont="1" applyFill="1" applyBorder="1" applyAlignment="1">
      <alignment horizontal="right" vertical="center"/>
    </xf>
    <xf numFmtId="0" fontId="5" fillId="0" borderId="6" xfId="0" applyFont="1" applyBorder="1" applyAlignment="1">
      <alignment vertical="center"/>
    </xf>
    <xf numFmtId="0" fontId="5" fillId="0" borderId="9" xfId="0" applyFont="1" applyBorder="1" applyAlignment="1">
      <alignment horizontal="right" vertical="center"/>
    </xf>
    <xf numFmtId="0" fontId="11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right" vertical="center"/>
    </xf>
    <xf numFmtId="2" fontId="5" fillId="0" borderId="14" xfId="0" applyNumberFormat="1" applyFont="1" applyBorder="1" applyAlignment="1">
      <alignment horizontal="center" vertical="center"/>
    </xf>
    <xf numFmtId="0" fontId="5" fillId="0" borderId="15" xfId="0" quotePrefix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1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6" borderId="8" xfId="0" applyFont="1" applyFill="1" applyBorder="1"/>
    <xf numFmtId="0" fontId="5" fillId="6" borderId="0" xfId="0" applyFont="1" applyFill="1"/>
    <xf numFmtId="0" fontId="5" fillId="7" borderId="0" xfId="0" applyFont="1" applyFill="1"/>
    <xf numFmtId="0" fontId="5" fillId="7" borderId="41" xfId="0" applyFont="1" applyFill="1" applyBorder="1"/>
    <xf numFmtId="0" fontId="5" fillId="9" borderId="0" xfId="0" applyFont="1" applyFill="1"/>
    <xf numFmtId="0" fontId="5" fillId="6" borderId="6" xfId="0" applyFont="1" applyFill="1" applyBorder="1"/>
    <xf numFmtId="0" fontId="5" fillId="7" borderId="6" xfId="0" applyFont="1" applyFill="1" applyBorder="1"/>
    <xf numFmtId="0" fontId="5" fillId="7" borderId="7" xfId="0" applyFont="1" applyFill="1" applyBorder="1"/>
    <xf numFmtId="164" fontId="5" fillId="3" borderId="4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center" wrapText="1"/>
    </xf>
    <xf numFmtId="0" fontId="1" fillId="3" borderId="48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3" borderId="49" xfId="0" applyFont="1" applyFill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5" borderId="17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6" borderId="43" xfId="0" applyFont="1" applyFill="1" applyBorder="1" applyAlignment="1">
      <alignment vertical="top"/>
    </xf>
    <xf numFmtId="0" fontId="5" fillId="5" borderId="35" xfId="0" applyFont="1" applyFill="1" applyBorder="1"/>
    <xf numFmtId="0" fontId="5" fillId="0" borderId="6" xfId="0" applyFont="1" applyBorder="1"/>
    <xf numFmtId="0" fontId="5" fillId="3" borderId="13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47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3" borderId="31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31" xfId="0" applyFont="1" applyFill="1" applyBorder="1" applyAlignment="1" applyProtection="1">
      <alignment horizontal="center" vertical="center"/>
      <protection locked="0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4" borderId="47" xfId="0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Protection="1">
      <protection locked="0"/>
    </xf>
    <xf numFmtId="0" fontId="5" fillId="4" borderId="60" xfId="0" applyFont="1" applyFill="1" applyBorder="1" applyProtection="1">
      <protection locked="0"/>
    </xf>
    <xf numFmtId="0" fontId="5" fillId="4" borderId="36" xfId="0" applyFont="1" applyFill="1" applyBorder="1" applyAlignment="1" applyProtection="1">
      <alignment horizontal="center" vertical="center"/>
      <protection locked="0"/>
    </xf>
    <xf numFmtId="0" fontId="5" fillId="4" borderId="36" xfId="0" applyFont="1" applyFill="1" applyBorder="1" applyAlignment="1">
      <alignment horizontal="center" vertical="center"/>
    </xf>
    <xf numFmtId="164" fontId="5" fillId="4" borderId="61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3" borderId="37" xfId="0" applyFont="1" applyFill="1" applyBorder="1" applyAlignment="1" applyProtection="1">
      <alignment horizontal="center" vertical="center"/>
      <protection locked="0"/>
    </xf>
    <xf numFmtId="0" fontId="5" fillId="3" borderId="37" xfId="0" applyFont="1" applyFill="1" applyBorder="1" applyAlignment="1">
      <alignment horizontal="center" vertical="center"/>
    </xf>
    <xf numFmtId="164" fontId="5" fillId="3" borderId="34" xfId="0" applyNumberFormat="1" applyFont="1" applyFill="1" applyBorder="1" applyAlignment="1">
      <alignment horizontal="center" vertical="center"/>
    </xf>
    <xf numFmtId="0" fontId="0" fillId="10" borderId="1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8" xfId="0" applyFill="1" applyBorder="1"/>
    <xf numFmtId="0" fontId="0" fillId="10" borderId="41" xfId="0" applyFill="1" applyBorder="1"/>
    <xf numFmtId="0" fontId="16" fillId="0" borderId="0" xfId="1" applyProtection="1"/>
    <xf numFmtId="0" fontId="0" fillId="10" borderId="43" xfId="0" applyFill="1" applyBorder="1"/>
    <xf numFmtId="0" fontId="0" fillId="10" borderId="6" xfId="0" applyFill="1" applyBorder="1"/>
    <xf numFmtId="0" fontId="0" fillId="10" borderId="7" xfId="0" applyFill="1" applyBorder="1"/>
    <xf numFmtId="0" fontId="5" fillId="3" borderId="53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164" fontId="5" fillId="3" borderId="14" xfId="0" applyNumberFormat="1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5" fillId="2" borderId="4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3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1" fillId="3" borderId="17" xfId="0" applyFont="1" applyFill="1" applyBorder="1" applyAlignment="1" applyProtection="1">
      <alignment horizontal="left" vertical="top" wrapText="1"/>
      <protection locked="0"/>
    </xf>
    <xf numFmtId="0" fontId="1" fillId="3" borderId="18" xfId="0" applyFont="1" applyFill="1" applyBorder="1" applyAlignment="1" applyProtection="1">
      <alignment horizontal="left" vertical="top" wrapText="1"/>
      <protection locked="0"/>
    </xf>
    <xf numFmtId="0" fontId="1" fillId="0" borderId="14" xfId="0" applyFont="1" applyBorder="1" applyAlignment="1" applyProtection="1">
      <alignment horizontal="left" vertical="center" wrapText="1"/>
      <protection locked="0"/>
    </xf>
    <xf numFmtId="0" fontId="1" fillId="0" borderId="15" xfId="0" applyFont="1" applyBorder="1" applyAlignment="1" applyProtection="1">
      <alignment horizontal="left" vertical="center" wrapText="1"/>
      <protection locked="0"/>
    </xf>
    <xf numFmtId="0" fontId="1" fillId="3" borderId="9" xfId="0" applyFont="1" applyFill="1" applyBorder="1" applyAlignment="1" applyProtection="1">
      <alignment horizontal="left" vertical="center" wrapText="1"/>
      <protection locked="0"/>
    </xf>
    <xf numFmtId="0" fontId="1" fillId="3" borderId="12" xfId="0" applyFont="1" applyFill="1" applyBorder="1" applyAlignment="1" applyProtection="1">
      <alignment horizontal="left" vertical="center" wrapText="1"/>
      <protection locked="0"/>
    </xf>
    <xf numFmtId="0" fontId="1" fillId="0" borderId="9" xfId="0" applyFont="1" applyBorder="1" applyAlignment="1" applyProtection="1">
      <alignment horizontal="left" vertical="center" wrapText="1"/>
      <protection locked="0"/>
    </xf>
    <xf numFmtId="0" fontId="1" fillId="0" borderId="12" xfId="0" applyFont="1" applyBorder="1" applyAlignment="1" applyProtection="1">
      <alignment horizontal="left" vertical="center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12" xfId="0" applyFont="1" applyBorder="1" applyAlignment="1" applyProtection="1">
      <alignment horizontal="left" vertical="top" wrapText="1"/>
      <protection locked="0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13" fillId="5" borderId="8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45" xfId="0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5" fillId="5" borderId="41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42" xfId="0" applyFont="1" applyFill="1" applyBorder="1" applyAlignment="1">
      <alignment horizontal="center" vertical="center" wrapText="1"/>
    </xf>
    <xf numFmtId="0" fontId="4" fillId="2" borderId="55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right" vertical="center" wrapText="1"/>
    </xf>
    <xf numFmtId="0" fontId="5" fillId="5" borderId="17" xfId="0" applyFont="1" applyFill="1" applyBorder="1" applyAlignment="1">
      <alignment horizontal="right" vertical="center" wrapText="1"/>
    </xf>
    <xf numFmtId="0" fontId="5" fillId="5" borderId="11" xfId="0" applyFont="1" applyFill="1" applyBorder="1" applyAlignment="1">
      <alignment horizontal="right" vertical="center" wrapText="1"/>
    </xf>
    <xf numFmtId="0" fontId="5" fillId="5" borderId="9" xfId="0" applyFont="1" applyFill="1" applyBorder="1" applyAlignment="1">
      <alignment horizontal="right" vertical="center" wrapText="1"/>
    </xf>
    <xf numFmtId="0" fontId="5" fillId="5" borderId="13" xfId="0" applyFont="1" applyFill="1" applyBorder="1" applyAlignment="1">
      <alignment horizontal="right" vertical="center" wrapText="1"/>
    </xf>
    <xf numFmtId="0" fontId="5" fillId="5" borderId="14" xfId="0" applyFont="1" applyFill="1" applyBorder="1" applyAlignment="1">
      <alignment horizontal="right" vertical="center" wrapText="1"/>
    </xf>
    <xf numFmtId="0" fontId="5" fillId="0" borderId="13" xfId="0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0" fontId="4" fillId="2" borderId="19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5" fillId="3" borderId="14" xfId="0" applyFont="1" applyFill="1" applyBorder="1" applyAlignment="1">
      <alignment horizontal="left" vertical="center"/>
    </xf>
    <xf numFmtId="0" fontId="5" fillId="7" borderId="17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1" xfId="0" applyFont="1" applyBorder="1" applyAlignment="1">
      <alignment horizontal="right" vertical="center"/>
    </xf>
    <xf numFmtId="0" fontId="5" fillId="0" borderId="9" xfId="0" applyFont="1" applyBorder="1" applyAlignment="1">
      <alignment horizontal="right" vertical="center"/>
    </xf>
    <xf numFmtId="0" fontId="13" fillId="0" borderId="11" xfId="0" applyFont="1" applyBorder="1" applyAlignment="1">
      <alignment horizontal="right" vertical="center"/>
    </xf>
    <xf numFmtId="0" fontId="13" fillId="0" borderId="9" xfId="0" applyFont="1" applyBorder="1" applyAlignment="1">
      <alignment horizontal="right" vertical="center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5" fillId="9" borderId="37" xfId="0" applyFont="1" applyFill="1" applyBorder="1" applyAlignment="1">
      <alignment horizontal="center" vertical="center" wrapText="1"/>
    </xf>
    <xf numFmtId="0" fontId="5" fillId="9" borderId="17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4" fillId="2" borderId="29" xfId="0" applyFont="1" applyFill="1" applyBorder="1" applyAlignment="1">
      <alignment horizontal="left" vertical="center"/>
    </xf>
    <xf numFmtId="0" fontId="4" fillId="2" borderId="30" xfId="0" applyFont="1" applyFill="1" applyBorder="1" applyAlignment="1">
      <alignment horizontal="left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4" fillId="2" borderId="56" xfId="0" applyFont="1" applyFill="1" applyBorder="1" applyAlignment="1">
      <alignment horizontal="left" vertical="center"/>
    </xf>
    <xf numFmtId="14" fontId="5" fillId="0" borderId="43" xfId="0" applyNumberFormat="1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5" fillId="0" borderId="57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4" fillId="2" borderId="43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5" fillId="3" borderId="37" xfId="0" applyFont="1" applyFill="1" applyBorder="1" applyAlignment="1">
      <alignment horizontal="left" vertical="center"/>
    </xf>
    <xf numFmtId="0" fontId="5" fillId="3" borderId="59" xfId="0" applyFont="1" applyFill="1" applyBorder="1" applyAlignment="1">
      <alignment horizontal="left" vertical="center"/>
    </xf>
    <xf numFmtId="0" fontId="5" fillId="4" borderId="36" xfId="0" applyFont="1" applyFill="1" applyBorder="1" applyAlignment="1">
      <alignment horizontal="left" vertical="center"/>
    </xf>
    <xf numFmtId="0" fontId="5" fillId="4" borderId="51" xfId="0" applyFont="1" applyFill="1" applyBorder="1" applyAlignment="1">
      <alignment horizontal="left" vertical="center"/>
    </xf>
    <xf numFmtId="0" fontId="5" fillId="4" borderId="46" xfId="0" applyFont="1" applyFill="1" applyBorder="1" applyAlignment="1" applyProtection="1">
      <alignment horizontal="center" vertical="center"/>
      <protection locked="0"/>
    </xf>
    <xf numFmtId="0" fontId="5" fillId="4" borderId="32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9" borderId="17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5" borderId="1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19" xfId="0" applyFont="1" applyFill="1" applyBorder="1" applyAlignment="1">
      <alignment horizontal="center" vertical="center" wrapText="1"/>
    </xf>
    <xf numFmtId="0" fontId="5" fillId="5" borderId="31" xfId="0" applyFont="1" applyFill="1" applyBorder="1" applyAlignment="1">
      <alignment horizontal="center" vertical="center" wrapText="1"/>
    </xf>
    <xf numFmtId="0" fontId="5" fillId="8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 wrapText="1"/>
    </xf>
    <xf numFmtId="0" fontId="5" fillId="7" borderId="31" xfId="0" applyFont="1" applyFill="1" applyBorder="1" applyAlignment="1">
      <alignment horizontal="center" vertical="center" wrapText="1"/>
    </xf>
    <xf numFmtId="0" fontId="5" fillId="4" borderId="59" xfId="0" applyFont="1" applyFill="1" applyBorder="1" applyAlignment="1">
      <alignment horizontal="left"/>
    </xf>
    <xf numFmtId="0" fontId="5" fillId="4" borderId="37" xfId="0" applyFont="1" applyFill="1" applyBorder="1" applyAlignment="1">
      <alignment horizontal="left"/>
    </xf>
    <xf numFmtId="0" fontId="5" fillId="4" borderId="37" xfId="0" applyFont="1" applyFill="1" applyBorder="1" applyAlignment="1" applyProtection="1">
      <alignment horizontal="left"/>
      <protection locked="0"/>
    </xf>
    <xf numFmtId="0" fontId="5" fillId="7" borderId="17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4" borderId="14" xfId="0" applyFont="1" applyFill="1" applyBorder="1" applyAlignment="1" applyProtection="1">
      <alignment horizontal="left"/>
      <protection locked="0"/>
    </xf>
    <xf numFmtId="0" fontId="5" fillId="3" borderId="51" xfId="0" applyFont="1" applyFill="1" applyBorder="1" applyAlignment="1">
      <alignment horizontal="left"/>
    </xf>
    <xf numFmtId="0" fontId="5" fillId="3" borderId="36" xfId="0" applyFont="1" applyFill="1" applyBorder="1" applyAlignment="1">
      <alignment horizontal="left"/>
    </xf>
    <xf numFmtId="0" fontId="5" fillId="3" borderId="36" xfId="0" applyFont="1" applyFill="1" applyBorder="1" applyAlignment="1" applyProtection="1">
      <alignment horizontal="left"/>
      <protection locked="0"/>
    </xf>
    <xf numFmtId="0" fontId="5" fillId="4" borderId="13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left"/>
    </xf>
    <xf numFmtId="0" fontId="5" fillId="3" borderId="33" xfId="0" applyFont="1" applyFill="1" applyBorder="1" applyAlignment="1" applyProtection="1">
      <alignment horizontal="left"/>
      <protection locked="0"/>
    </xf>
    <xf numFmtId="0" fontId="5" fillId="3" borderId="52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left"/>
    </xf>
    <xf numFmtId="0" fontId="7" fillId="0" borderId="0" xfId="0" applyFont="1" applyAlignment="1">
      <alignment horizontal="left" vertical="top" wrapText="1"/>
    </xf>
    <xf numFmtId="0" fontId="5" fillId="5" borderId="36" xfId="0" applyFont="1" applyFill="1" applyBorder="1" applyAlignment="1">
      <alignment horizontal="center" vertical="center"/>
    </xf>
    <xf numFmtId="0" fontId="5" fillId="5" borderId="51" xfId="0" applyFont="1" applyFill="1" applyBorder="1" applyAlignment="1">
      <alignment horizontal="center" vertical="center"/>
    </xf>
    <xf numFmtId="0" fontId="5" fillId="3" borderId="17" xfId="0" applyFont="1" applyFill="1" applyBorder="1" applyAlignment="1" applyProtection="1">
      <alignment horizontal="left" vertical="center"/>
      <protection locked="0"/>
    </xf>
    <xf numFmtId="0" fontId="5" fillId="3" borderId="18" xfId="0" applyFont="1" applyFill="1" applyBorder="1" applyAlignment="1" applyProtection="1">
      <alignment horizontal="left" vertical="center"/>
      <protection locked="0"/>
    </xf>
    <xf numFmtId="0" fontId="5" fillId="4" borderId="14" xfId="0" applyFont="1" applyFill="1" applyBorder="1" applyAlignment="1" applyProtection="1">
      <alignment horizontal="left" vertical="center"/>
      <protection locked="0"/>
    </xf>
    <xf numFmtId="0" fontId="5" fillId="4" borderId="15" xfId="0" applyFont="1" applyFill="1" applyBorder="1" applyAlignment="1" applyProtection="1">
      <alignment horizontal="left" vertical="center"/>
      <protection locked="0"/>
    </xf>
    <xf numFmtId="0" fontId="0" fillId="0" borderId="40" xfId="0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10" borderId="0" xfId="0" applyFill="1" applyBorder="1"/>
  </cellXfs>
  <cellStyles count="2">
    <cellStyle name="Hyperlink" xfId="1" builtinId="8"/>
    <cellStyle name="Normal" xfId="0" builtinId="0"/>
  </cellStyles>
  <dxfs count="2">
    <dxf>
      <font>
        <color rgb="FFC62828"/>
      </font>
    </dxf>
    <dxf>
      <font>
        <color rgb="FF2E7D32"/>
      </font>
    </dxf>
  </dxfs>
  <tableStyles count="0" defaultTableStyle="TableStyleMedium2" defaultPivotStyle="PivotStyleLight16"/>
  <colors>
    <mruColors>
      <color rgb="FF202D3E"/>
      <color rgb="FFEAEAE9"/>
      <color rgb="FF212121"/>
      <color rgb="FFD9D9D9"/>
      <color rgb="FFC62828"/>
      <color rgb="FF2E7D32"/>
      <color rgb="FFF0F1ED"/>
      <color rgb="FFFBFCFA"/>
      <color rgb="FFE6F0FA"/>
      <color rgb="FFFFF3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www.linkedin.com/in/nathan-havery/" TargetMode="External"/><Relationship Id="rId1" Type="http://schemas.openxmlformats.org/officeDocument/2006/relationships/hyperlink" Target="https://ko-fi.com/nathanhavery" TargetMode="Externa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27</xdr:row>
      <xdr:rowOff>95250</xdr:rowOff>
    </xdr:from>
    <xdr:to>
      <xdr:col>6</xdr:col>
      <xdr:colOff>504825</xdr:colOff>
      <xdr:row>29</xdr:row>
      <xdr:rowOff>152400</xdr:rowOff>
    </xdr:to>
    <xdr:sp macro="" textlink="">
      <xdr:nvSpPr>
        <xdr:cNvPr id="11" name="Rectangle: Rounded Corner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3563B2-492E-439E-B5FC-3202789D1982}"/>
            </a:ext>
          </a:extLst>
        </xdr:cNvPr>
        <xdr:cNvSpPr/>
      </xdr:nvSpPr>
      <xdr:spPr>
        <a:xfrm>
          <a:off x="704850" y="5391150"/>
          <a:ext cx="3457575" cy="438150"/>
        </a:xfrm>
        <a:prstGeom prst="roundRect">
          <a:avLst/>
        </a:prstGeom>
        <a:solidFill>
          <a:schemeClr val="bg1"/>
        </a:solidFill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</xdr:colOff>
      <xdr:row>23</xdr:row>
      <xdr:rowOff>171450</xdr:rowOff>
    </xdr:from>
    <xdr:to>
      <xdr:col>6</xdr:col>
      <xdr:colOff>504825</xdr:colOff>
      <xdr:row>26</xdr:row>
      <xdr:rowOff>38100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C8A10C-680D-4CA9-8BBF-4B227DF60D35}"/>
            </a:ext>
          </a:extLst>
        </xdr:cNvPr>
        <xdr:cNvSpPr/>
      </xdr:nvSpPr>
      <xdr:spPr>
        <a:xfrm>
          <a:off x="704850" y="4705350"/>
          <a:ext cx="3457575" cy="4381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9526</xdr:colOff>
      <xdr:row>3</xdr:row>
      <xdr:rowOff>19048</xdr:rowOff>
    </xdr:from>
    <xdr:to>
      <xdr:col>8</xdr:col>
      <xdr:colOff>581026</xdr:colOff>
      <xdr:row>33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DCBAE0-1629-4671-97E5-BD5CD3E4F9B0}"/>
            </a:ext>
          </a:extLst>
        </xdr:cNvPr>
        <xdr:cNvSpPr txBox="1"/>
      </xdr:nvSpPr>
      <xdr:spPr>
        <a:xfrm>
          <a:off x="619126" y="742948"/>
          <a:ext cx="4838700" cy="5886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About This Document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provides a structured method for demonstrating compliance with the intrinsic safety requirements defined </a:t>
          </a:r>
          <a:r>
            <a:rPr lang="en-GB" sz="1000" b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in IEC 60079-14. It is intended for use by engineers validating linear intrinsically safe (Ex i) circuits </a:t>
          </a:r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consisting of a single power source (e.g., barrier or isolator) and one to three field devices.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The tool enables users to: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Compare entity parameters (U, I, P, L, C) between associated apparatus and intrinsically safe apparatus.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Flag compliance outcomes (pass/fail) based on standard requirements.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Incorporate mixed circuit safety factor reductions and 1.5x safety factors for gas group IIC environments.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document uses macros - ensure they are enabled.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is intended for engineering support and verification purposes only. Final assessment and acceptance remain the responsibility of a competent person in accordance with site and regulatory requirements.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Feedback &amp; Support</a:t>
          </a:r>
          <a:endParaRPr lang="en-GB" sz="1000">
            <a:solidFill>
              <a:srgbClr val="21212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If you have suggestions, feedback, or just want to say thanks — I’d love to hear from you.</a:t>
          </a:r>
          <a:b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</a:br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Connect with me on LinkedIn: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        linkedin.com/in/nathan-havery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If you find this tool useful, please consider supporting its development:</a:t>
          </a:r>
        </a:p>
        <a:p>
          <a:endParaRPr lang="en-GB" sz="1000" b="1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 baseline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             </a:t>
          </a:r>
          <a:r>
            <a:rPr lang="en-GB" sz="1000" b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Buy Me a Coffee → </a:t>
          </a:r>
          <a:r>
            <a:rPr lang="en-GB" sz="1000" b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https://ko-fi.com/nathanhavery</a:t>
          </a:r>
        </a:p>
        <a:p>
          <a:endParaRPr lang="en-GB" sz="1000" b="0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endParaRPr lang="en-GB" sz="1000" b="0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en-GB" sz="1000" i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is free to use and share. Please credit the original author.</a:t>
          </a:r>
        </a:p>
        <a:p>
          <a:endParaRPr lang="en-GB" sz="1000" b="0" i="1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pPr algn="r"/>
          <a:r>
            <a:rPr lang="en-GB" sz="1000" b="0" i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v1.0</a:t>
          </a:r>
          <a:r>
            <a:rPr lang="en-GB" sz="1000" b="0" i="1" baseline="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June 2025</a:t>
          </a:r>
          <a:endParaRPr lang="en-GB" sz="1000" b="0" i="1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133350</xdr:colOff>
      <xdr:row>24</xdr:row>
      <xdr:rowOff>47625</xdr:rowOff>
    </xdr:from>
    <xdr:to>
      <xdr:col>1</xdr:col>
      <xdr:colOff>428625</xdr:colOff>
      <xdr:row>25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17BA88F-4830-DB77-148E-32C7C2B2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4772025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114301</xdr:colOff>
      <xdr:row>27</xdr:row>
      <xdr:rowOff>152400</xdr:rowOff>
    </xdr:from>
    <xdr:to>
      <xdr:col>1</xdr:col>
      <xdr:colOff>495300</xdr:colOff>
      <xdr:row>29</xdr:row>
      <xdr:rowOff>79039</xdr:rowOff>
    </xdr:to>
    <xdr:pic>
      <xdr:nvPicPr>
        <xdr:cNvPr id="7" name="Picture 6" descr="Ko-fi Logo">
          <a:extLst>
            <a:ext uri="{FF2B5EF4-FFF2-40B4-BE49-F238E27FC236}">
              <a16:creationId xmlns:a16="http://schemas.microsoft.com/office/drawing/2014/main" id="{022CF734-9196-7421-7FA9-3D316D0C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1" y="5448300"/>
          <a:ext cx="380999" cy="3076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27</xdr:row>
      <xdr:rowOff>95250</xdr:rowOff>
    </xdr:from>
    <xdr:to>
      <xdr:col>6</xdr:col>
      <xdr:colOff>504825</xdr:colOff>
      <xdr:row>29</xdr:row>
      <xdr:rowOff>152400</xdr:rowOff>
    </xdr:to>
    <xdr:sp macro="" textlink="">
      <xdr:nvSpPr>
        <xdr:cNvPr id="8" name="Rectangle: Rounded Corner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01233-CABF-678E-7624-8D49AF597FE5}"/>
            </a:ext>
          </a:extLst>
        </xdr:cNvPr>
        <xdr:cNvSpPr/>
      </xdr:nvSpPr>
      <xdr:spPr>
        <a:xfrm>
          <a:off x="704850" y="5391150"/>
          <a:ext cx="3457575" cy="438150"/>
        </a:xfrm>
        <a:prstGeom prst="roundRect">
          <a:avLst/>
        </a:prstGeom>
        <a:noFill/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</xdr:colOff>
      <xdr:row>23</xdr:row>
      <xdr:rowOff>171450</xdr:rowOff>
    </xdr:from>
    <xdr:to>
      <xdr:col>6</xdr:col>
      <xdr:colOff>504825</xdr:colOff>
      <xdr:row>26</xdr:row>
      <xdr:rowOff>38100</xdr:rowOff>
    </xdr:to>
    <xdr:sp macro="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360E47-813F-413D-BF25-F0D4A314F801}"/>
            </a:ext>
          </a:extLst>
        </xdr:cNvPr>
        <xdr:cNvSpPr/>
      </xdr:nvSpPr>
      <xdr:spPr>
        <a:xfrm>
          <a:off x="704850" y="4705350"/>
          <a:ext cx="3457575" cy="438150"/>
        </a:xfrm>
        <a:prstGeom prst="roundRect">
          <a:avLst/>
        </a:prstGeom>
        <a:noFill/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10</xdr:row>
      <xdr:rowOff>119063</xdr:rowOff>
    </xdr:from>
    <xdr:to>
      <xdr:col>14</xdr:col>
      <xdr:colOff>46257</xdr:colOff>
      <xdr:row>14</xdr:row>
      <xdr:rowOff>47346</xdr:rowOff>
    </xdr:to>
    <xdr:sp macro="" textlink="$F$20">
      <xdr:nvSpPr>
        <xdr:cNvPr id="10" name="Rectangle: Rounded Corners 9">
          <a:extLst>
            <a:ext uri="{FF2B5EF4-FFF2-40B4-BE49-F238E27FC236}">
              <a16:creationId xmlns:a16="http://schemas.microsoft.com/office/drawing/2014/main" id="{0F54F4BB-DA09-44B9-9CF4-5C062C7B3982}"/>
            </a:ext>
          </a:extLst>
        </xdr:cNvPr>
        <xdr:cNvSpPr/>
      </xdr:nvSpPr>
      <xdr:spPr>
        <a:xfrm>
          <a:off x="7877175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E787D4-DB43-4600-9CA5-552F1BF86176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VEGATOR 121</a:t>
          </a:fld>
          <a:endParaRPr lang="en-GB" sz="6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238125</xdr:colOff>
      <xdr:row>10</xdr:row>
      <xdr:rowOff>119063</xdr:rowOff>
    </xdr:from>
    <xdr:to>
      <xdr:col>9</xdr:col>
      <xdr:colOff>332007</xdr:colOff>
      <xdr:row>14</xdr:row>
      <xdr:rowOff>47346</xdr:rowOff>
    </xdr:to>
    <xdr:sp macro="" textlink="$F$21">
      <xdr:nvSpPr>
        <xdr:cNvPr id="11" name="Device_1">
          <a:extLst>
            <a:ext uri="{FF2B5EF4-FFF2-40B4-BE49-F238E27FC236}">
              <a16:creationId xmlns:a16="http://schemas.microsoft.com/office/drawing/2014/main" id="{760685F7-F2D0-4C3E-A4EC-9D8D5590800A}"/>
            </a:ext>
          </a:extLst>
        </xdr:cNvPr>
        <xdr:cNvSpPr/>
      </xdr:nvSpPr>
      <xdr:spPr>
        <a:xfrm>
          <a:off x="5114925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A94B1-F41F-4DD4-8B99-42F90CB883FE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VEGA SWING 63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309563</xdr:colOff>
      <xdr:row>10</xdr:row>
      <xdr:rowOff>119063</xdr:rowOff>
    </xdr:from>
    <xdr:to>
      <xdr:col>6</xdr:col>
      <xdr:colOff>403445</xdr:colOff>
      <xdr:row>14</xdr:row>
      <xdr:rowOff>47346</xdr:rowOff>
    </xdr:to>
    <xdr:sp macro="" textlink="$F$22">
      <xdr:nvSpPr>
        <xdr:cNvPr id="12" name="Device_2" hidden="1">
          <a:extLst>
            <a:ext uri="{FF2B5EF4-FFF2-40B4-BE49-F238E27FC236}">
              <a16:creationId xmlns:a16="http://schemas.microsoft.com/office/drawing/2014/main" id="{39A92861-4A13-4F87-BDE3-2F3EE6B0F8BB}"/>
            </a:ext>
          </a:extLst>
        </xdr:cNvPr>
        <xdr:cNvSpPr/>
      </xdr:nvSpPr>
      <xdr:spPr>
        <a:xfrm>
          <a:off x="3357563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54F357-E607-4500-AC7C-5129D3250CC7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 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381000</xdr:colOff>
      <xdr:row>10</xdr:row>
      <xdr:rowOff>119063</xdr:rowOff>
    </xdr:from>
    <xdr:to>
      <xdr:col>3</xdr:col>
      <xdr:colOff>474882</xdr:colOff>
      <xdr:row>14</xdr:row>
      <xdr:rowOff>47346</xdr:rowOff>
    </xdr:to>
    <xdr:sp macro="" textlink="$F$23">
      <xdr:nvSpPr>
        <xdr:cNvPr id="13" name="Device_3" hidden="1">
          <a:extLst>
            <a:ext uri="{FF2B5EF4-FFF2-40B4-BE49-F238E27FC236}">
              <a16:creationId xmlns:a16="http://schemas.microsoft.com/office/drawing/2014/main" id="{4F8FDCA5-B4A3-405E-B6F9-A9667C7DCCB1}"/>
            </a:ext>
          </a:extLst>
        </xdr:cNvPr>
        <xdr:cNvSpPr/>
      </xdr:nvSpPr>
      <xdr:spPr>
        <a:xfrm>
          <a:off x="1600200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5FD9AA-83EE-4ED3-BF9A-64FE5BE85E8D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 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332007</xdr:colOff>
      <xdr:row>12</xdr:row>
      <xdr:rowOff>83205</xdr:rowOff>
    </xdr:from>
    <xdr:to>
      <xdr:col>12</xdr:col>
      <xdr:colOff>561975</xdr:colOff>
      <xdr:row>12</xdr:row>
      <xdr:rowOff>83205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4539A752-6ABA-09CE-57B8-553A052FA4B5}"/>
            </a:ext>
          </a:extLst>
        </xdr:cNvPr>
        <xdr:cNvCxnSpPr>
          <a:stCxn id="10" idx="1"/>
          <a:endCxn id="11" idx="3"/>
        </xdr:cNvCxnSpPr>
      </xdr:nvCxnSpPr>
      <xdr:spPr>
        <a:xfrm flipH="1">
          <a:off x="5818407" y="2940705"/>
          <a:ext cx="2058768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403445</xdr:colOff>
      <xdr:row>12</xdr:row>
      <xdr:rowOff>83205</xdr:rowOff>
    </xdr:from>
    <xdr:to>
      <xdr:col>8</xdr:col>
      <xdr:colOff>238125</xdr:colOff>
      <xdr:row>12</xdr:row>
      <xdr:rowOff>83205</xdr:rowOff>
    </xdr:to>
    <xdr:cxnSp macro="">
      <xdr:nvCxnSpPr>
        <xdr:cNvPr id="16" name="Line_1" hidden="1">
          <a:extLst>
            <a:ext uri="{FF2B5EF4-FFF2-40B4-BE49-F238E27FC236}">
              <a16:creationId xmlns:a16="http://schemas.microsoft.com/office/drawing/2014/main" id="{531AE29C-9482-4FA5-B165-C38B3052E6D4}"/>
            </a:ext>
          </a:extLst>
        </xdr:cNvPr>
        <xdr:cNvCxnSpPr>
          <a:stCxn id="11" idx="1"/>
          <a:endCxn id="12" idx="3"/>
        </xdr:cNvCxnSpPr>
      </xdr:nvCxnSpPr>
      <xdr:spPr>
        <a:xfrm flipH="1">
          <a:off x="4061045" y="2940705"/>
          <a:ext cx="1053880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474882</xdr:colOff>
      <xdr:row>12</xdr:row>
      <xdr:rowOff>83205</xdr:rowOff>
    </xdr:from>
    <xdr:to>
      <xdr:col>5</xdr:col>
      <xdr:colOff>309563</xdr:colOff>
      <xdr:row>12</xdr:row>
      <xdr:rowOff>83205</xdr:rowOff>
    </xdr:to>
    <xdr:cxnSp macro="">
      <xdr:nvCxnSpPr>
        <xdr:cNvPr id="17" name="Line_2" hidden="1">
          <a:extLst>
            <a:ext uri="{FF2B5EF4-FFF2-40B4-BE49-F238E27FC236}">
              <a16:creationId xmlns:a16="http://schemas.microsoft.com/office/drawing/2014/main" id="{D0ADA9F4-83FF-4363-AF25-ABA1F8B8C511}"/>
            </a:ext>
          </a:extLst>
        </xdr:cNvPr>
        <xdr:cNvCxnSpPr>
          <a:stCxn id="12" idx="1"/>
          <a:endCxn id="13" idx="3"/>
        </xdr:cNvCxnSpPr>
      </xdr:nvCxnSpPr>
      <xdr:spPr>
        <a:xfrm flipH="1">
          <a:off x="2303682" y="2940705"/>
          <a:ext cx="1053881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257176</xdr:colOff>
      <xdr:row>15</xdr:row>
      <xdr:rowOff>14288</xdr:rowOff>
    </xdr:from>
    <xdr:to>
      <xdr:col>2</xdr:col>
      <xdr:colOff>542926</xdr:colOff>
      <xdr:row>15</xdr:row>
      <xdr:rowOff>176213</xdr:rowOff>
    </xdr:to>
    <xdr:sp macro="[0]!Select_1_Device" textlink="">
      <xdr:nvSpPr>
        <xdr:cNvPr id="28" name="1_Device">
          <a:extLst>
            <a:ext uri="{FF2B5EF4-FFF2-40B4-BE49-F238E27FC236}">
              <a16:creationId xmlns:a16="http://schemas.microsoft.com/office/drawing/2014/main" id="{D5FD48EA-9EEA-4664-BD8C-F063BEBCDBE9}"/>
            </a:ext>
          </a:extLst>
        </xdr:cNvPr>
        <xdr:cNvSpPr/>
      </xdr:nvSpPr>
      <xdr:spPr>
        <a:xfrm>
          <a:off x="1476376" y="3414713"/>
          <a:ext cx="285750" cy="161925"/>
        </a:xfrm>
        <a:prstGeom prst="roundRect">
          <a:avLst>
            <a:gd name="adj" fmla="val 50000"/>
          </a:avLst>
        </a:prstGeom>
        <a:solidFill>
          <a:srgbClr val="202D3E"/>
        </a:solidFill>
        <a:ln w="12700"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FFFFFF"/>
              </a:solidFill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19051</xdr:colOff>
      <xdr:row>15</xdr:row>
      <xdr:rowOff>14288</xdr:rowOff>
    </xdr:from>
    <xdr:to>
      <xdr:col>3</xdr:col>
      <xdr:colOff>304801</xdr:colOff>
      <xdr:row>15</xdr:row>
      <xdr:rowOff>176213</xdr:rowOff>
    </xdr:to>
    <xdr:sp macro="[0]!Select_2_Device" textlink="">
      <xdr:nvSpPr>
        <xdr:cNvPr id="29" name="2_Device">
          <a:extLst>
            <a:ext uri="{FF2B5EF4-FFF2-40B4-BE49-F238E27FC236}">
              <a16:creationId xmlns:a16="http://schemas.microsoft.com/office/drawing/2014/main" id="{E09D4BC7-8825-477D-975A-1C1A9CEBD6BB}"/>
            </a:ext>
          </a:extLst>
        </xdr:cNvPr>
        <xdr:cNvSpPr/>
      </xdr:nvSpPr>
      <xdr:spPr>
        <a:xfrm>
          <a:off x="1847851" y="3414713"/>
          <a:ext cx="285750" cy="161925"/>
        </a:xfrm>
        <a:prstGeom prst="roundRect">
          <a:avLst>
            <a:gd name="adj" fmla="val 50000"/>
          </a:avLst>
        </a:prstGeom>
        <a:noFill/>
        <a:ln w="12700">
          <a:solidFill>
            <a:srgbClr val="202D3E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202D3E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202D3E"/>
              </a:solidFill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390525</xdr:colOff>
      <xdr:row>15</xdr:row>
      <xdr:rowOff>14288</xdr:rowOff>
    </xdr:from>
    <xdr:to>
      <xdr:col>4</xdr:col>
      <xdr:colOff>66675</xdr:colOff>
      <xdr:row>15</xdr:row>
      <xdr:rowOff>176213</xdr:rowOff>
    </xdr:to>
    <xdr:sp macro="[0]!Select_3_Device" textlink="">
      <xdr:nvSpPr>
        <xdr:cNvPr id="30" name="3_Device">
          <a:extLst>
            <a:ext uri="{FF2B5EF4-FFF2-40B4-BE49-F238E27FC236}">
              <a16:creationId xmlns:a16="http://schemas.microsoft.com/office/drawing/2014/main" id="{5AEE3F64-4C65-46A5-8C9C-F5E20BE14BAB}"/>
            </a:ext>
          </a:extLst>
        </xdr:cNvPr>
        <xdr:cNvSpPr/>
      </xdr:nvSpPr>
      <xdr:spPr>
        <a:xfrm>
          <a:off x="2219325" y="3414713"/>
          <a:ext cx="285750" cy="161925"/>
        </a:xfrm>
        <a:prstGeom prst="roundRect">
          <a:avLst>
            <a:gd name="adj" fmla="val 50000"/>
          </a:avLst>
        </a:prstGeom>
        <a:noFill/>
        <a:ln w="12700">
          <a:solidFill>
            <a:srgbClr val="202D3E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202D3E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202D3E"/>
              </a:solidFill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59</xdr:row>
      <xdr:rowOff>142875</xdr:rowOff>
    </xdr:from>
    <xdr:to>
      <xdr:col>15</xdr:col>
      <xdr:colOff>325152</xdr:colOff>
      <xdr:row>65</xdr:row>
      <xdr:rowOff>67128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577FF3F-5F87-4737-B33B-F20F8BAD4540}"/>
            </a:ext>
          </a:extLst>
        </xdr:cNvPr>
        <xdr:cNvGrpSpPr/>
      </xdr:nvGrpSpPr>
      <xdr:grpSpPr>
        <a:xfrm>
          <a:off x="142875" y="11391900"/>
          <a:ext cx="9326277" cy="1067253"/>
          <a:chOff x="542925" y="1628775"/>
          <a:chExt cx="9326277" cy="106725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7A40E94B-8B23-12EB-8530-CFC7E80F10D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87685"/>
          <a:stretch/>
        </xdr:blipFill>
        <xdr:spPr>
          <a:xfrm>
            <a:off x="542925" y="1628775"/>
            <a:ext cx="9326277" cy="40005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E0E468-CBDC-E19D-115C-D190D6DAD5B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79168"/>
          <a:stretch/>
        </xdr:blipFill>
        <xdr:spPr>
          <a:xfrm>
            <a:off x="542925" y="2019300"/>
            <a:ext cx="9326277" cy="676728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123825</xdr:colOff>
      <xdr:row>33</xdr:row>
      <xdr:rowOff>180975</xdr:rowOff>
    </xdr:from>
    <xdr:to>
      <xdr:col>9</xdr:col>
      <xdr:colOff>124591</xdr:colOff>
      <xdr:row>59</xdr:row>
      <xdr:rowOff>124508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6559DF-101F-40A1-832B-94FA146F4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6477000"/>
          <a:ext cx="5487166" cy="4896533"/>
        </a:xfrm>
        <a:prstGeom prst="rect">
          <a:avLst/>
        </a:prstGeom>
      </xdr:spPr>
    </xdr:pic>
    <xdr:clientData/>
  </xdr:twoCellAnchor>
  <xdr:twoCellAnchor editAs="oneCell">
    <xdr:from>
      <xdr:col>9</xdr:col>
      <xdr:colOff>314325</xdr:colOff>
      <xdr:row>34</xdr:row>
      <xdr:rowOff>76200</xdr:rowOff>
    </xdr:from>
    <xdr:to>
      <xdr:col>16</xdr:col>
      <xdr:colOff>67236</xdr:colOff>
      <xdr:row>42</xdr:row>
      <xdr:rowOff>133571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E641C6-F880-4549-8A11-62D8BDFC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00725" y="6562725"/>
          <a:ext cx="4020111" cy="1581371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381000</xdr:colOff>
      <xdr:row>43</xdr:row>
      <xdr:rowOff>76200</xdr:rowOff>
    </xdr:from>
    <xdr:to>
      <xdr:col>13</xdr:col>
      <xdr:colOff>181287</xdr:colOff>
      <xdr:row>59</xdr:row>
      <xdr:rowOff>57573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7CF321-B558-4D54-806A-CD7FE53B3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67400" y="8277225"/>
          <a:ext cx="2238687" cy="302937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26</xdr:row>
      <xdr:rowOff>19050</xdr:rowOff>
    </xdr:from>
    <xdr:to>
      <xdr:col>16</xdr:col>
      <xdr:colOff>601509</xdr:colOff>
      <xdr:row>34</xdr:row>
      <xdr:rowOff>210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AEEE2F9-64D6-4598-96E9-F217C9770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" y="4981575"/>
          <a:ext cx="10278909" cy="1505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2BED-3D8A-4AA9-8CBA-2377D92608F6}">
  <sheetPr codeName="Sheet3">
    <tabColor rgb="FFD9D9D9"/>
  </sheetPr>
  <dimension ref="B2:L34"/>
  <sheetViews>
    <sheetView showGridLines="0" tabSelected="1" workbookViewId="0"/>
  </sheetViews>
  <sheetFormatPr defaultRowHeight="15" x14ac:dyDescent="0.25"/>
  <sheetData>
    <row r="2" spans="2:9" ht="15.75" thickBot="1" x14ac:dyDescent="0.3"/>
    <row r="3" spans="2:9" ht="26.25" customHeight="1" thickBot="1" x14ac:dyDescent="0.3">
      <c r="B3" s="97" t="s">
        <v>27</v>
      </c>
      <c r="C3" s="98"/>
      <c r="D3" s="98"/>
      <c r="E3" s="98"/>
      <c r="F3" s="98"/>
      <c r="G3" s="98"/>
      <c r="H3" s="99" t="s">
        <v>132</v>
      </c>
      <c r="I3" s="100"/>
    </row>
    <row r="4" spans="2:9" x14ac:dyDescent="0.25">
      <c r="B4" s="85"/>
      <c r="C4" s="86"/>
      <c r="D4" s="86"/>
      <c r="E4" s="86"/>
      <c r="F4" s="86"/>
      <c r="G4" s="86"/>
      <c r="H4" s="86"/>
      <c r="I4" s="87"/>
    </row>
    <row r="5" spans="2:9" x14ac:dyDescent="0.25">
      <c r="B5" s="88"/>
      <c r="C5" s="249"/>
      <c r="D5" s="249"/>
      <c r="E5" s="249"/>
      <c r="F5" s="249"/>
      <c r="G5" s="249"/>
      <c r="H5" s="249"/>
      <c r="I5" s="89"/>
    </row>
    <row r="6" spans="2:9" x14ac:dyDescent="0.25">
      <c r="B6" s="88"/>
      <c r="C6" s="249"/>
      <c r="D6" s="249"/>
      <c r="E6" s="249"/>
      <c r="F6" s="249"/>
      <c r="G6" s="249"/>
      <c r="H6" s="249"/>
      <c r="I6" s="89"/>
    </row>
    <row r="7" spans="2:9" x14ac:dyDescent="0.25">
      <c r="B7" s="88"/>
      <c r="C7" s="249"/>
      <c r="D7" s="249"/>
      <c r="E7" s="249"/>
      <c r="F7" s="249"/>
      <c r="G7" s="249"/>
      <c r="H7" s="249"/>
      <c r="I7" s="89"/>
    </row>
    <row r="8" spans="2:9" x14ac:dyDescent="0.25">
      <c r="B8" s="88"/>
      <c r="C8" s="249"/>
      <c r="D8" s="249"/>
      <c r="E8" s="249"/>
      <c r="F8" s="249"/>
      <c r="G8" s="249"/>
      <c r="H8" s="249"/>
      <c r="I8" s="89"/>
    </row>
    <row r="9" spans="2:9" x14ac:dyDescent="0.25">
      <c r="B9" s="88"/>
      <c r="C9" s="249"/>
      <c r="D9" s="249"/>
      <c r="E9" s="249"/>
      <c r="F9" s="249"/>
      <c r="G9" s="249"/>
      <c r="H9" s="249"/>
      <c r="I9" s="89"/>
    </row>
    <row r="10" spans="2:9" x14ac:dyDescent="0.25">
      <c r="B10" s="88"/>
      <c r="C10" s="249"/>
      <c r="D10" s="249"/>
      <c r="E10" s="249"/>
      <c r="F10" s="249"/>
      <c r="G10" s="249"/>
      <c r="H10" s="249"/>
      <c r="I10" s="89"/>
    </row>
    <row r="11" spans="2:9" x14ac:dyDescent="0.25">
      <c r="B11" s="88"/>
      <c r="C11" s="249"/>
      <c r="D11" s="249"/>
      <c r="E11" s="249"/>
      <c r="F11" s="249"/>
      <c r="G11" s="249"/>
      <c r="H11" s="249"/>
      <c r="I11" s="89"/>
    </row>
    <row r="12" spans="2:9" x14ac:dyDescent="0.25">
      <c r="B12" s="88"/>
      <c r="C12" s="249"/>
      <c r="D12" s="249"/>
      <c r="E12" s="249"/>
      <c r="F12" s="249"/>
      <c r="G12" s="249"/>
      <c r="H12" s="249"/>
      <c r="I12" s="89"/>
    </row>
    <row r="13" spans="2:9" x14ac:dyDescent="0.25">
      <c r="B13" s="88"/>
      <c r="C13" s="249"/>
      <c r="D13" s="249"/>
      <c r="E13" s="249"/>
      <c r="F13" s="249"/>
      <c r="G13" s="249"/>
      <c r="H13" s="249"/>
      <c r="I13" s="89"/>
    </row>
    <row r="14" spans="2:9" x14ac:dyDescent="0.25">
      <c r="B14" s="88"/>
      <c r="C14" s="249"/>
      <c r="D14" s="249"/>
      <c r="E14" s="249"/>
      <c r="F14" s="249"/>
      <c r="G14" s="249"/>
      <c r="H14" s="249"/>
      <c r="I14" s="89"/>
    </row>
    <row r="15" spans="2:9" x14ac:dyDescent="0.25">
      <c r="B15" s="88"/>
      <c r="C15" s="249"/>
      <c r="D15" s="249"/>
      <c r="E15" s="249"/>
      <c r="F15" s="249"/>
      <c r="G15" s="249"/>
      <c r="H15" s="249"/>
      <c r="I15" s="89"/>
    </row>
    <row r="16" spans="2:9" x14ac:dyDescent="0.25">
      <c r="B16" s="88"/>
      <c r="C16" s="249"/>
      <c r="D16" s="249"/>
      <c r="E16" s="249"/>
      <c r="F16" s="249"/>
      <c r="G16" s="249"/>
      <c r="H16" s="249"/>
      <c r="I16" s="89"/>
    </row>
    <row r="17" spans="2:12" x14ac:dyDescent="0.25">
      <c r="B17" s="88"/>
      <c r="C17" s="249"/>
      <c r="D17" s="249"/>
      <c r="E17" s="249"/>
      <c r="F17" s="249"/>
      <c r="G17" s="249"/>
      <c r="H17" s="249"/>
      <c r="I17" s="89"/>
    </row>
    <row r="18" spans="2:12" x14ac:dyDescent="0.25">
      <c r="B18" s="88"/>
      <c r="C18" s="249"/>
      <c r="D18" s="249"/>
      <c r="E18" s="249"/>
      <c r="F18" s="249"/>
      <c r="G18" s="249"/>
      <c r="H18" s="249"/>
      <c r="I18" s="89"/>
    </row>
    <row r="19" spans="2:12" x14ac:dyDescent="0.25">
      <c r="B19" s="88"/>
      <c r="C19" s="249"/>
      <c r="D19" s="249"/>
      <c r="E19" s="249"/>
      <c r="F19" s="249"/>
      <c r="G19" s="249"/>
      <c r="H19" s="249"/>
      <c r="I19" s="89"/>
    </row>
    <row r="20" spans="2:12" x14ac:dyDescent="0.25">
      <c r="B20" s="88"/>
      <c r="C20" s="249"/>
      <c r="D20" s="249"/>
      <c r="E20" s="249"/>
      <c r="F20" s="249"/>
      <c r="G20" s="249"/>
      <c r="H20" s="249"/>
      <c r="I20" s="89"/>
    </row>
    <row r="21" spans="2:12" x14ac:dyDescent="0.25">
      <c r="B21" s="88"/>
      <c r="C21" s="249"/>
      <c r="D21" s="249"/>
      <c r="E21" s="249"/>
      <c r="F21" s="249"/>
      <c r="G21" s="249"/>
      <c r="H21" s="249"/>
      <c r="I21" s="89"/>
    </row>
    <row r="22" spans="2:12" x14ac:dyDescent="0.25">
      <c r="B22" s="88"/>
      <c r="C22" s="249"/>
      <c r="D22" s="249"/>
      <c r="E22" s="249"/>
      <c r="F22" s="249"/>
      <c r="G22" s="249"/>
      <c r="H22" s="249"/>
      <c r="I22" s="89"/>
      <c r="L22" s="90"/>
    </row>
    <row r="23" spans="2:12" x14ac:dyDescent="0.25">
      <c r="B23" s="88"/>
      <c r="C23" s="249"/>
      <c r="D23" s="249"/>
      <c r="E23" s="249"/>
      <c r="F23" s="249"/>
      <c r="G23" s="249"/>
      <c r="H23" s="249"/>
      <c r="I23" s="89"/>
    </row>
    <row r="24" spans="2:12" x14ac:dyDescent="0.25">
      <c r="B24" s="88"/>
      <c r="C24" s="249"/>
      <c r="D24" s="249"/>
      <c r="E24" s="249"/>
      <c r="F24" s="249"/>
      <c r="G24" s="249"/>
      <c r="H24" s="249"/>
      <c r="I24" s="89"/>
    </row>
    <row r="25" spans="2:12" x14ac:dyDescent="0.25">
      <c r="B25" s="88"/>
      <c r="C25" s="249"/>
      <c r="D25" s="249"/>
      <c r="E25" s="249"/>
      <c r="F25" s="249"/>
      <c r="G25" s="249"/>
      <c r="H25" s="249"/>
      <c r="I25" s="89"/>
    </row>
    <row r="26" spans="2:12" x14ac:dyDescent="0.25">
      <c r="B26" s="88"/>
      <c r="C26" s="249"/>
      <c r="D26" s="249"/>
      <c r="E26" s="249"/>
      <c r="F26" s="249"/>
      <c r="G26" s="249"/>
      <c r="H26" s="249"/>
      <c r="I26" s="89"/>
    </row>
    <row r="27" spans="2:12" x14ac:dyDescent="0.25">
      <c r="B27" s="88"/>
      <c r="C27" s="249"/>
      <c r="D27" s="249"/>
      <c r="E27" s="249"/>
      <c r="F27" s="249"/>
      <c r="G27" s="249"/>
      <c r="H27" s="249"/>
      <c r="I27" s="89"/>
    </row>
    <row r="28" spans="2:12" x14ac:dyDescent="0.25">
      <c r="B28" s="88"/>
      <c r="C28" s="249"/>
      <c r="D28" s="249"/>
      <c r="E28" s="249"/>
      <c r="F28" s="249"/>
      <c r="G28" s="249"/>
      <c r="H28" s="249"/>
      <c r="I28" s="89"/>
    </row>
    <row r="29" spans="2:12" x14ac:dyDescent="0.25">
      <c r="B29" s="88"/>
      <c r="C29" s="249"/>
      <c r="D29" s="249"/>
      <c r="E29" s="249"/>
      <c r="F29" s="249"/>
      <c r="G29" s="249"/>
      <c r="H29" s="249"/>
      <c r="I29" s="89"/>
    </row>
    <row r="30" spans="2:12" x14ac:dyDescent="0.25">
      <c r="B30" s="88"/>
      <c r="C30" s="249"/>
      <c r="D30" s="249"/>
      <c r="E30" s="249"/>
      <c r="F30" s="249"/>
      <c r="G30" s="249"/>
      <c r="H30" s="249"/>
      <c r="I30" s="89"/>
    </row>
    <row r="31" spans="2:12" x14ac:dyDescent="0.25">
      <c r="B31" s="88"/>
      <c r="C31" s="249"/>
      <c r="D31" s="249"/>
      <c r="E31" s="249"/>
      <c r="F31" s="249"/>
      <c r="G31" s="249"/>
      <c r="H31" s="249"/>
      <c r="I31" s="89"/>
    </row>
    <row r="32" spans="2:12" x14ac:dyDescent="0.25">
      <c r="B32" s="88"/>
      <c r="C32" s="249"/>
      <c r="D32" s="249"/>
      <c r="E32" s="249"/>
      <c r="F32" s="249"/>
      <c r="G32" s="249"/>
      <c r="H32" s="249"/>
      <c r="I32" s="89"/>
    </row>
    <row r="33" spans="2:9" x14ac:dyDescent="0.25">
      <c r="B33" s="88"/>
      <c r="C33" s="249"/>
      <c r="D33" s="249"/>
      <c r="E33" s="249"/>
      <c r="F33" s="249"/>
      <c r="G33" s="249"/>
      <c r="H33" s="249"/>
      <c r="I33" s="89"/>
    </row>
    <row r="34" spans="2:9" ht="15.75" thickBot="1" x14ac:dyDescent="0.3">
      <c r="B34" s="91"/>
      <c r="C34" s="92"/>
      <c r="D34" s="92"/>
      <c r="E34" s="92"/>
      <c r="F34" s="92"/>
      <c r="G34" s="92"/>
      <c r="H34" s="92"/>
      <c r="I34" s="93"/>
    </row>
  </sheetData>
  <sheetProtection algorithmName="SHA-512" hashValue="p24MNLJkmfYnhL6oyX7ypfxgel/sG8s1bQcDO0PChMWspj4WiEqcYIq/ZripDc/zFzSmxgjosu4/f5Hcyatu1w==" saltValue="RnuaDIrwPSXn207eOuJuDQ==" spinCount="100000" sheet="1" objects="1" scenarios="1" selectLockedCells="1" selectUnlockedCells="1"/>
  <mergeCells count="2">
    <mergeCell ref="B3:G3"/>
    <mergeCell ref="H3:I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75D5-098E-4471-98C8-5CA04E06E3B8}">
  <sheetPr codeName="Sheet1">
    <tabColor rgb="FF202D3E"/>
    <pageSetUpPr fitToPage="1"/>
  </sheetPr>
  <dimension ref="B1:T63"/>
  <sheetViews>
    <sheetView showGridLines="0" zoomScaleNormal="100" workbookViewId="0">
      <selection activeCell="C5" sqref="C5:H5"/>
    </sheetView>
  </sheetViews>
  <sheetFormatPr defaultRowHeight="14.25" x14ac:dyDescent="0.25"/>
  <cols>
    <col min="1" max="16384" width="9.140625" style="2"/>
  </cols>
  <sheetData>
    <row r="1" spans="2:20" s="12" customFormat="1" ht="16.5" x14ac:dyDescent="0.3"/>
    <row r="2" spans="2:20" s="12" customFormat="1" ht="36.6" customHeight="1" x14ac:dyDescent="0.3">
      <c r="B2" s="101" t="s">
        <v>27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60"/>
      <c r="R2" s="60"/>
      <c r="S2" s="60"/>
    </row>
    <row r="3" spans="2:20" s="12" customFormat="1" ht="17.25" thickBot="1" x14ac:dyDescent="0.35"/>
    <row r="4" spans="2:20" s="12" customFormat="1" ht="20.100000000000001" customHeight="1" thickBot="1" x14ac:dyDescent="0.35">
      <c r="B4" s="102" t="s">
        <v>28</v>
      </c>
      <c r="C4" s="103"/>
      <c r="D4" s="103"/>
      <c r="E4" s="103"/>
      <c r="F4" s="103"/>
      <c r="G4" s="103"/>
      <c r="H4" s="104"/>
      <c r="I4" s="13"/>
      <c r="J4" s="102" t="s">
        <v>0</v>
      </c>
      <c r="K4" s="103"/>
      <c r="L4" s="104"/>
      <c r="M4" s="5" t="s">
        <v>32</v>
      </c>
      <c r="N4" s="235" t="s">
        <v>80</v>
      </c>
      <c r="O4" s="235"/>
      <c r="P4" s="235"/>
      <c r="T4" s="7"/>
    </row>
    <row r="5" spans="2:20" s="12" customFormat="1" ht="14.25" customHeight="1" x14ac:dyDescent="0.3">
      <c r="B5" s="10" t="s">
        <v>29</v>
      </c>
      <c r="C5" s="238" t="s">
        <v>30</v>
      </c>
      <c r="D5" s="238"/>
      <c r="E5" s="238"/>
      <c r="F5" s="238"/>
      <c r="G5" s="238"/>
      <c r="H5" s="239"/>
      <c r="I5" s="2"/>
      <c r="J5" s="16" t="s">
        <v>1</v>
      </c>
      <c r="K5" s="61" t="s">
        <v>2</v>
      </c>
      <c r="L5" s="62" t="s">
        <v>3</v>
      </c>
      <c r="M5" s="7"/>
      <c r="N5" s="235"/>
      <c r="O5" s="235"/>
      <c r="P5" s="235"/>
      <c r="T5" s="7"/>
    </row>
    <row r="6" spans="2:20" s="12" customFormat="1" ht="14.25" customHeight="1" thickBot="1" x14ac:dyDescent="0.35">
      <c r="B6" s="11" t="s">
        <v>66</v>
      </c>
      <c r="C6" s="240" t="s">
        <v>31</v>
      </c>
      <c r="D6" s="240"/>
      <c r="E6" s="240"/>
      <c r="F6" s="240"/>
      <c r="G6" s="240"/>
      <c r="H6" s="241"/>
      <c r="I6" s="2"/>
      <c r="J6" s="66" t="s">
        <v>5</v>
      </c>
      <c r="K6" s="67" t="s">
        <v>13</v>
      </c>
      <c r="L6" s="68" t="s">
        <v>18</v>
      </c>
      <c r="N6" s="235"/>
      <c r="O6" s="235"/>
      <c r="P6" s="235"/>
    </row>
    <row r="7" spans="2:20" s="12" customFormat="1" ht="14.25" customHeight="1" thickBot="1" x14ac:dyDescent="0.35">
      <c r="B7" s="1"/>
      <c r="C7" s="1"/>
      <c r="D7" s="1"/>
      <c r="E7" s="1"/>
      <c r="F7" s="1"/>
      <c r="G7" s="1"/>
      <c r="H7" s="1"/>
      <c r="I7" s="2"/>
      <c r="J7" s="4"/>
      <c r="K7" s="4"/>
      <c r="L7" s="4"/>
      <c r="M7" s="4"/>
      <c r="N7" s="4"/>
      <c r="O7" s="4"/>
      <c r="Q7" s="6"/>
      <c r="R7" s="6"/>
      <c r="S7" s="6"/>
    </row>
    <row r="8" spans="2:20" s="14" customFormat="1" ht="20.100000000000001" customHeight="1" thickBot="1" x14ac:dyDescent="0.3">
      <c r="B8" s="102" t="s">
        <v>82</v>
      </c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4"/>
    </row>
    <row r="9" spans="2:20" s="14" customFormat="1" x14ac:dyDescent="0.25">
      <c r="B9" s="45" t="s">
        <v>64</v>
      </c>
      <c r="C9" s="46"/>
      <c r="D9" s="46"/>
      <c r="E9" s="46"/>
      <c r="F9" s="46"/>
      <c r="G9" s="46"/>
      <c r="H9" s="46"/>
      <c r="I9" s="46"/>
      <c r="J9" s="46"/>
      <c r="K9" s="46"/>
      <c r="L9" s="47" t="s">
        <v>65</v>
      </c>
      <c r="M9" s="47"/>
      <c r="N9" s="47"/>
      <c r="O9" s="47"/>
      <c r="P9" s="48"/>
    </row>
    <row r="10" spans="2:20" s="14" customFormat="1" x14ac:dyDescent="0.25">
      <c r="B10" s="45"/>
      <c r="C10" s="46"/>
      <c r="D10" s="46"/>
      <c r="E10" s="46"/>
      <c r="F10" s="46"/>
      <c r="G10" s="46"/>
      <c r="H10" s="46"/>
      <c r="I10" s="46"/>
      <c r="J10" s="46"/>
      <c r="K10" s="46"/>
      <c r="L10" s="47"/>
      <c r="M10" s="47"/>
      <c r="N10" s="47"/>
      <c r="O10" s="47"/>
      <c r="P10" s="48"/>
    </row>
    <row r="11" spans="2:20" s="14" customFormat="1" x14ac:dyDescent="0.25">
      <c r="B11" s="45"/>
      <c r="C11" s="46"/>
      <c r="D11" s="46"/>
      <c r="E11" s="46"/>
      <c r="F11" s="46"/>
      <c r="G11" s="46"/>
      <c r="H11" s="46"/>
      <c r="I11" s="46"/>
      <c r="J11" s="46"/>
      <c r="K11" s="46"/>
      <c r="L11" s="47"/>
      <c r="M11" s="47"/>
      <c r="N11" s="47"/>
      <c r="O11" s="47"/>
      <c r="P11" s="48"/>
    </row>
    <row r="12" spans="2:20" s="14" customFormat="1" x14ac:dyDescent="0.25">
      <c r="B12" s="45"/>
      <c r="C12" s="46"/>
      <c r="D12" s="49"/>
      <c r="E12" s="46"/>
      <c r="F12" s="46"/>
      <c r="G12" s="46"/>
      <c r="H12" s="46"/>
      <c r="I12" s="46"/>
      <c r="J12" s="46"/>
      <c r="K12" s="46"/>
      <c r="L12" s="47"/>
      <c r="M12" s="47"/>
      <c r="N12" s="47"/>
      <c r="O12" s="47"/>
      <c r="P12" s="48"/>
    </row>
    <row r="13" spans="2:20" s="14" customFormat="1" x14ac:dyDescent="0.25">
      <c r="B13" s="45"/>
      <c r="C13" s="46"/>
      <c r="D13" s="46"/>
      <c r="E13" s="46"/>
      <c r="F13" s="46"/>
      <c r="G13" s="46"/>
      <c r="H13" s="46"/>
      <c r="I13" s="46"/>
      <c r="J13" s="46"/>
      <c r="K13" s="46"/>
      <c r="L13" s="47"/>
      <c r="M13" s="15"/>
      <c r="N13" s="47"/>
      <c r="O13" s="47"/>
      <c r="P13" s="48"/>
    </row>
    <row r="14" spans="2:20" s="14" customFormat="1" x14ac:dyDescent="0.25">
      <c r="B14" s="45"/>
      <c r="C14" s="46"/>
      <c r="D14" s="46"/>
      <c r="E14" s="46"/>
      <c r="F14" s="46"/>
      <c r="G14" s="46"/>
      <c r="H14" s="46"/>
      <c r="I14" s="46"/>
      <c r="J14" s="46"/>
      <c r="K14" s="46"/>
      <c r="L14" s="47"/>
      <c r="M14" s="47"/>
      <c r="N14" s="47"/>
      <c r="O14" s="47"/>
      <c r="P14" s="48"/>
    </row>
    <row r="15" spans="2:20" s="14" customFormat="1" x14ac:dyDescent="0.25"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7"/>
      <c r="M15" s="47"/>
      <c r="N15" s="47"/>
      <c r="O15" s="47"/>
      <c r="P15" s="48"/>
    </row>
    <row r="16" spans="2:20" s="14" customFormat="1" ht="20.100000000000001" customHeight="1" thickBot="1" x14ac:dyDescent="0.3">
      <c r="B16" s="63" t="s">
        <v>126</v>
      </c>
      <c r="C16" s="50"/>
      <c r="D16" s="50"/>
      <c r="E16" s="50"/>
      <c r="F16" s="50"/>
      <c r="G16" s="50"/>
      <c r="H16" s="50"/>
      <c r="I16" s="50"/>
      <c r="J16" s="50"/>
      <c r="K16" s="50"/>
      <c r="L16" s="51"/>
      <c r="M16" s="51"/>
      <c r="N16" s="51"/>
      <c r="O16" s="51"/>
      <c r="P16" s="52"/>
    </row>
    <row r="17" spans="2:18" s="14" customFormat="1" ht="15" thickBot="1" x14ac:dyDescent="0.3"/>
    <row r="18" spans="2:18" s="14" customFormat="1" ht="20.100000000000001" customHeight="1" thickBot="1" x14ac:dyDescent="0.3">
      <c r="B18" s="130" t="s">
        <v>63</v>
      </c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2"/>
    </row>
    <row r="19" spans="2:18" s="14" customFormat="1" ht="15" customHeight="1" x14ac:dyDescent="0.25">
      <c r="B19" s="237" t="s">
        <v>77</v>
      </c>
      <c r="C19" s="236"/>
      <c r="D19" s="236" t="s">
        <v>50</v>
      </c>
      <c r="E19" s="236"/>
      <c r="F19" s="236" t="s">
        <v>67</v>
      </c>
      <c r="G19" s="236"/>
      <c r="H19" s="236" t="s">
        <v>68</v>
      </c>
      <c r="I19" s="236"/>
      <c r="J19" s="236"/>
      <c r="K19" s="236" t="s">
        <v>69</v>
      </c>
      <c r="L19" s="236"/>
      <c r="M19" s="236" t="s">
        <v>70</v>
      </c>
      <c r="N19" s="236"/>
      <c r="O19" s="236"/>
      <c r="P19" s="64" t="s">
        <v>71</v>
      </c>
    </row>
    <row r="20" spans="2:18" s="14" customFormat="1" x14ac:dyDescent="0.25">
      <c r="B20" s="233" t="s">
        <v>78</v>
      </c>
      <c r="C20" s="234"/>
      <c r="D20" s="232" t="s">
        <v>72</v>
      </c>
      <c r="E20" s="232"/>
      <c r="F20" s="232" t="s">
        <v>73</v>
      </c>
      <c r="G20" s="232"/>
      <c r="H20" s="232" t="s">
        <v>74</v>
      </c>
      <c r="I20" s="232"/>
      <c r="J20" s="232"/>
      <c r="K20" s="232" t="s">
        <v>75</v>
      </c>
      <c r="L20" s="232"/>
      <c r="M20" s="232" t="s">
        <v>76</v>
      </c>
      <c r="N20" s="232"/>
      <c r="O20" s="232"/>
      <c r="P20" s="94">
        <v>1234</v>
      </c>
    </row>
    <row r="21" spans="2:18" s="14" customFormat="1" ht="15" thickBot="1" x14ac:dyDescent="0.3">
      <c r="B21" s="230" t="s">
        <v>79</v>
      </c>
      <c r="C21" s="231"/>
      <c r="D21" s="226" t="s">
        <v>72</v>
      </c>
      <c r="E21" s="226"/>
      <c r="F21" s="226" t="s">
        <v>133</v>
      </c>
      <c r="G21" s="226"/>
      <c r="H21" s="226" t="s">
        <v>134</v>
      </c>
      <c r="I21" s="226"/>
      <c r="J21" s="226"/>
      <c r="K21" s="226" t="s">
        <v>135</v>
      </c>
      <c r="L21" s="226"/>
      <c r="M21" s="226" t="s">
        <v>136</v>
      </c>
      <c r="N21" s="226"/>
      <c r="O21" s="226"/>
      <c r="P21" s="95">
        <v>5678</v>
      </c>
    </row>
    <row r="22" spans="2:18" s="14" customFormat="1" hidden="1" x14ac:dyDescent="0.25">
      <c r="B22" s="227" t="s">
        <v>79</v>
      </c>
      <c r="C22" s="228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76"/>
    </row>
    <row r="23" spans="2:18" s="14" customFormat="1" hidden="1" x14ac:dyDescent="0.25">
      <c r="B23" s="219" t="s">
        <v>79</v>
      </c>
      <c r="C23" s="220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77"/>
    </row>
    <row r="24" spans="2:18" s="14" customFormat="1" ht="15" thickBot="1" x14ac:dyDescent="0.3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R24" s="4"/>
    </row>
    <row r="25" spans="2:18" ht="20.100000000000001" customHeight="1" thickBot="1" x14ac:dyDescent="0.3">
      <c r="B25" s="188" t="s">
        <v>81</v>
      </c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</row>
    <row r="26" spans="2:18" ht="15" customHeight="1" x14ac:dyDescent="0.25">
      <c r="B26" s="224" t="s">
        <v>50</v>
      </c>
      <c r="C26" s="222"/>
      <c r="D26" s="222" t="s">
        <v>67</v>
      </c>
      <c r="E26" s="222"/>
      <c r="F26" s="148" t="s">
        <v>44</v>
      </c>
      <c r="G26" s="148" t="s">
        <v>45</v>
      </c>
      <c r="H26" s="148" t="s">
        <v>46</v>
      </c>
      <c r="I26" s="148" t="s">
        <v>47</v>
      </c>
      <c r="J26" s="148" t="s">
        <v>48</v>
      </c>
      <c r="K26" s="217" t="s">
        <v>49</v>
      </c>
      <c r="L26" s="222" t="s">
        <v>33</v>
      </c>
      <c r="M26" s="222"/>
      <c r="P26" s="43"/>
    </row>
    <row r="27" spans="2:18" ht="14.25" customHeight="1" x14ac:dyDescent="0.25">
      <c r="B27" s="225"/>
      <c r="C27" s="223"/>
      <c r="D27" s="223"/>
      <c r="E27" s="223"/>
      <c r="F27" s="149"/>
      <c r="G27" s="149"/>
      <c r="H27" s="149"/>
      <c r="I27" s="149"/>
      <c r="J27" s="149"/>
      <c r="K27" s="218"/>
      <c r="L27" s="24" t="s">
        <v>40</v>
      </c>
      <c r="M27" s="24" t="s">
        <v>41</v>
      </c>
      <c r="P27" s="43"/>
    </row>
    <row r="28" spans="2:18" ht="14.25" customHeight="1" thickBot="1" x14ac:dyDescent="0.3">
      <c r="B28" s="146" t="str">
        <f>IF(D20="","Not Found",D20)</f>
        <v>VEGA</v>
      </c>
      <c r="C28" s="147"/>
      <c r="D28" s="147" t="str">
        <f>IF(F20="","Not Found",F20)</f>
        <v>VEGATOR 121</v>
      </c>
      <c r="E28" s="147"/>
      <c r="F28" s="67">
        <v>22.4</v>
      </c>
      <c r="G28" s="67">
        <v>113.5</v>
      </c>
      <c r="H28" s="67">
        <v>636</v>
      </c>
      <c r="I28" s="67">
        <v>16</v>
      </c>
      <c r="J28" s="67">
        <v>600</v>
      </c>
      <c r="K28" s="69"/>
      <c r="L28" s="19" t="str">
        <f>IF(K20="", "Not Found",
 IF(ISNUMBER(FIND("ia", K20)), "ia",
 IF(ISNUMBER(FIND("ib", K20)), "ib",
 IF(ISNUMBER(FIND("ic", K20)), "ic", "Not Found"))))</f>
        <v>ia</v>
      </c>
      <c r="M28" s="19" t="str">
        <f>IF(K20="", "Not Found",
 IF(ISNUMBER(FIND("IIC", K20)), "IIC",
 IF(ISNUMBER(FIND("IIB", K20)), "IIB",
 IF(ISNUMBER(FIND("IIA", K20)), "IIA", "Not Found"))))</f>
        <v>IIC</v>
      </c>
      <c r="N28" s="36"/>
      <c r="O28" s="36"/>
      <c r="P28" s="44"/>
    </row>
    <row r="29" spans="2:18" s="14" customFormat="1" ht="15" thickBot="1" x14ac:dyDescent="0.3"/>
    <row r="30" spans="2:18" ht="20.100000000000001" customHeight="1" thickBot="1" x14ac:dyDescent="0.3">
      <c r="B30" s="102" t="s">
        <v>83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4"/>
    </row>
    <row r="31" spans="2:18" ht="14.25" customHeight="1" x14ac:dyDescent="0.25">
      <c r="B31" s="201" t="s">
        <v>50</v>
      </c>
      <c r="C31" s="198"/>
      <c r="D31" s="198" t="s">
        <v>67</v>
      </c>
      <c r="E31" s="198"/>
      <c r="F31" s="166" t="s">
        <v>34</v>
      </c>
      <c r="G31" s="166" t="s">
        <v>35</v>
      </c>
      <c r="H31" s="166" t="s">
        <v>36</v>
      </c>
      <c r="I31" s="166" t="s">
        <v>37</v>
      </c>
      <c r="J31" s="166" t="s">
        <v>38</v>
      </c>
      <c r="K31" s="199" t="s">
        <v>39</v>
      </c>
      <c r="L31" s="200"/>
      <c r="M31" s="198" t="s">
        <v>33</v>
      </c>
      <c r="N31" s="198"/>
      <c r="O31" s="198"/>
      <c r="P31" s="43"/>
    </row>
    <row r="32" spans="2:18" ht="14.25" customHeight="1" x14ac:dyDescent="0.25">
      <c r="B32" s="202"/>
      <c r="C32" s="203"/>
      <c r="D32" s="203"/>
      <c r="E32" s="203"/>
      <c r="F32" s="167"/>
      <c r="G32" s="167"/>
      <c r="H32" s="167"/>
      <c r="I32" s="167"/>
      <c r="J32" s="167"/>
      <c r="K32" s="22" t="s">
        <v>42</v>
      </c>
      <c r="L32" s="23" t="s">
        <v>43</v>
      </c>
      <c r="M32" s="25" t="s">
        <v>40</v>
      </c>
      <c r="N32" s="25" t="s">
        <v>41</v>
      </c>
      <c r="O32" s="25" t="s">
        <v>3</v>
      </c>
      <c r="P32" s="43"/>
    </row>
    <row r="33" spans="2:16" ht="15" thickBot="1" x14ac:dyDescent="0.3">
      <c r="B33" s="146" t="str">
        <f>IF(D21="","Not Found",D21)</f>
        <v>VEGA</v>
      </c>
      <c r="C33" s="147"/>
      <c r="D33" s="147" t="str">
        <f>IF(F21="","Not Found",F21)</f>
        <v>VEGA SWING 63</v>
      </c>
      <c r="E33" s="147"/>
      <c r="F33" s="67">
        <v>24</v>
      </c>
      <c r="G33" s="67">
        <v>131</v>
      </c>
      <c r="H33" s="67">
        <v>786</v>
      </c>
      <c r="I33" s="67">
        <v>0.1</v>
      </c>
      <c r="J33" s="67">
        <v>0.1</v>
      </c>
      <c r="K33" s="96">
        <f>IF(OR(F33="",G33=""),"",IF(G33=0,0,F33/(G33/1000)))</f>
        <v>183.20610687022901</v>
      </c>
      <c r="L33" s="53">
        <f>IF(OR(K33="",I33=""),"",IF(K33=0,0,I33/K33))</f>
        <v>5.4583333333333339E-4</v>
      </c>
      <c r="M33" s="19" t="str">
        <f>IF(K21="", "Not Found",
 IF(ISNUMBER(FIND("ia", K21)), "ia",
 IF(ISNUMBER(FIND("ib", K21)), "ib",
 IF(ISNUMBER(FIND("ic", K21)), "ic", "Not Found"))))</f>
        <v>ia</v>
      </c>
      <c r="N33" s="19" t="str">
        <f>IF(K21="", "Not Found",
 IF(ISNUMBER(FIND("IIC", K21)), "IIC",
 IF(ISNUMBER(FIND("IIB", K21)), "IIB",
 IF(ISNUMBER(FIND("IIA", K21)), "IIA", "Not Found"))))</f>
        <v>IIC</v>
      </c>
      <c r="O33" s="19" t="str">
        <f>IF(K21="","Not Found",
IF(ISNUMBER(FIND("T6",K21)),"T6",
IF(ISNUMBER(FIND("T5",K21)),"T5",
IF(ISNUMBER(FIND("T4",K21)),"T4",
IF(ISNUMBER(FIND("T3",K21)),"T3",
IF(ISNUMBER(FIND("T2",K21)),"T2",
IF(ISNUMBER(FIND("T1",K21)),"T1","Not Found")))))))</f>
        <v>T6</v>
      </c>
      <c r="P33" s="44"/>
    </row>
    <row r="34" spans="2:16" hidden="1" x14ac:dyDescent="0.25">
      <c r="B34" s="194" t="str">
        <f t="shared" ref="B34:B35" si="0">IF(D22="","Not Found",D22)</f>
        <v>Not Found</v>
      </c>
      <c r="C34" s="193"/>
      <c r="D34" s="193" t="str">
        <f t="shared" ref="D34:D35" si="1">IF(F22="","Not Found",F22)</f>
        <v>Not Found</v>
      </c>
      <c r="E34" s="193"/>
      <c r="F34" s="78"/>
      <c r="G34" s="78"/>
      <c r="H34" s="78"/>
      <c r="I34" s="78"/>
      <c r="J34" s="78"/>
      <c r="K34" s="79" t="str">
        <f>IF(OR(F34="",G34=""),"",IF(G34=0,0,F34/(G34/1000)))</f>
        <v/>
      </c>
      <c r="L34" s="80" t="str">
        <f>IF(OR(K34="",I34=""),"",IF(K34=0,0,I34/K34))</f>
        <v/>
      </c>
      <c r="M34" s="79" t="str">
        <f>IF(K22="", "Not Found",
 IF(ISNUMBER(FIND("ia", K22)), "ia",
 IF(ISNUMBER(FIND("ib", K22)), "ib",
 IF(ISNUMBER(FIND("ic", K22)), "ic", "Not Found"))))</f>
        <v>Not Found</v>
      </c>
      <c r="N34" s="79" t="str">
        <f>IF(K22="", "Not Found",
 IF(ISNUMBER(FIND("IIC", K22)), "IIC",
 IF(ISNUMBER(FIND("IIB", K22)), "IIB",
 IF(ISNUMBER(FIND("IIA", K22)), "IIA", "Not Found"))))</f>
        <v>Not Found</v>
      </c>
      <c r="O34" s="79" t="str">
        <f>IF(K22="","Not Found",
IF(ISNUMBER(FIND("T6",K22)),"T6",
IF(ISNUMBER(FIND("T5",K22)),"T5",
IF(ISNUMBER(FIND("T4",K22)),"T4",
IF(ISNUMBER(FIND("T3",K22)),"T3",
IF(ISNUMBER(FIND("T2",K22)),"T2",
IF(ISNUMBER(FIND("T1",K22)),"T1","Not Found")))))))</f>
        <v>Not Found</v>
      </c>
      <c r="P34" s="81"/>
    </row>
    <row r="35" spans="2:16" hidden="1" x14ac:dyDescent="0.25">
      <c r="B35" s="192" t="str">
        <f t="shared" si="0"/>
        <v>Not Found</v>
      </c>
      <c r="C35" s="191"/>
      <c r="D35" s="191" t="str">
        <f t="shared" si="1"/>
        <v>Not Found</v>
      </c>
      <c r="E35" s="191"/>
      <c r="F35" s="82"/>
      <c r="G35" s="82"/>
      <c r="H35" s="82"/>
      <c r="I35" s="82"/>
      <c r="J35" s="82"/>
      <c r="K35" s="83" t="str">
        <f>IF(OR(F35="",G35=""),"",IF(G35=0,0,F35/(G35/1000)))</f>
        <v/>
      </c>
      <c r="L35" s="84" t="str">
        <f>IF(OR(K35="",I35=""),"",IF(K35=0,0,I35/K35))</f>
        <v/>
      </c>
      <c r="M35" s="83" t="str">
        <f>IF(K23="", "Not Found",
 IF(ISNUMBER(FIND("ia", K23)), "ia",
 IF(ISNUMBER(FIND("ib", K23)), "ib",
 IF(ISNUMBER(FIND("ic", K23)), "ic", "Not Found"))))</f>
        <v>Not Found</v>
      </c>
      <c r="N35" s="83" t="str">
        <f>IF(K23="", "Not Found",
 IF(ISNUMBER(FIND("IIC", K23)), "IIC",
 IF(ISNUMBER(FIND("IIB", K23)), "IIB",
 IF(ISNUMBER(FIND("IIA", K23)), "IIA", "Not Found"))))</f>
        <v>Not Found</v>
      </c>
      <c r="O35" s="83" t="str">
        <f>IF(K23="","Not Found",
IF(ISNUMBER(FIND("T6",K23)),"T6",
IF(ISNUMBER(FIND("T5",K23)),"T5",
IF(ISNUMBER(FIND("T4",K23)),"T4",
IF(ISNUMBER(FIND("T3",K23)),"T3",
IF(ISNUMBER(FIND("T2",K23)),"T2",
IF(ISNUMBER(FIND("T1",K23)),"T1","Not Found")))))))</f>
        <v>Not Found</v>
      </c>
      <c r="P35" s="43"/>
    </row>
    <row r="36" spans="2:16" ht="15" thickBot="1" x14ac:dyDescent="0.3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  <row r="37" spans="2:16" ht="20.100000000000001" customHeight="1" thickBot="1" x14ac:dyDescent="0.3">
      <c r="B37" s="188" t="s">
        <v>84</v>
      </c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</row>
    <row r="38" spans="2:16" x14ac:dyDescent="0.25">
      <c r="B38" s="213" t="s">
        <v>50</v>
      </c>
      <c r="C38" s="214"/>
      <c r="D38" s="214" t="s">
        <v>51</v>
      </c>
      <c r="E38" s="214"/>
      <c r="F38" s="208" t="s">
        <v>52</v>
      </c>
      <c r="G38" s="208" t="s">
        <v>53</v>
      </c>
      <c r="H38" s="208" t="s">
        <v>54</v>
      </c>
      <c r="I38" s="208" t="s">
        <v>55</v>
      </c>
      <c r="J38" s="210" t="s">
        <v>56</v>
      </c>
      <c r="K38" s="212" t="s">
        <v>57</v>
      </c>
      <c r="L38" s="212"/>
      <c r="M38" s="212"/>
      <c r="P38" s="43"/>
    </row>
    <row r="39" spans="2:16" x14ac:dyDescent="0.25">
      <c r="B39" s="215"/>
      <c r="C39" s="216"/>
      <c r="D39" s="216"/>
      <c r="E39" s="216"/>
      <c r="F39" s="209"/>
      <c r="G39" s="209"/>
      <c r="H39" s="209"/>
      <c r="I39" s="209"/>
      <c r="J39" s="211"/>
      <c r="K39" s="22" t="s">
        <v>58</v>
      </c>
      <c r="L39" s="22" t="s">
        <v>59</v>
      </c>
      <c r="M39" s="22" t="s">
        <v>60</v>
      </c>
      <c r="P39" s="43"/>
    </row>
    <row r="40" spans="2:16" x14ac:dyDescent="0.25">
      <c r="B40" s="204" t="s">
        <v>61</v>
      </c>
      <c r="C40" s="205"/>
      <c r="D40" s="205" t="s">
        <v>62</v>
      </c>
      <c r="E40" s="205"/>
      <c r="F40" s="70">
        <v>1</v>
      </c>
      <c r="G40" s="70">
        <v>200</v>
      </c>
      <c r="H40" s="70"/>
      <c r="I40" s="70"/>
      <c r="J40" s="71">
        <v>100</v>
      </c>
      <c r="K40" s="20">
        <f>IF(OR(F40="", J40=""), "", ((F40/1000)*J40))</f>
        <v>0.1</v>
      </c>
      <c r="L40" s="20">
        <f>IF(OR(G40="", J40=""), "", ((G40/1000)*J40))</f>
        <v>20</v>
      </c>
      <c r="M40" s="20" t="str">
        <f>IF(OR(J40="", H40=""), "", ((H40/1000)*J40))</f>
        <v/>
      </c>
      <c r="P40" s="43"/>
    </row>
    <row r="41" spans="2:16" x14ac:dyDescent="0.25">
      <c r="B41" s="195"/>
      <c r="C41" s="196"/>
      <c r="D41" s="197"/>
      <c r="E41" s="197"/>
      <c r="F41" s="72"/>
      <c r="G41" s="72"/>
      <c r="H41" s="72"/>
      <c r="I41" s="72"/>
      <c r="J41" s="73"/>
      <c r="K41" s="21" t="str">
        <f t="shared" ref="K41:K43" si="2">IF(OR(F41="", J41=""), "", ((F41/1000)*J41))</f>
        <v/>
      </c>
      <c r="L41" s="21" t="str">
        <f t="shared" ref="L41:L43" si="3">IF(OR(G41="", J41=""), "", ((G41/1000)*J41))</f>
        <v/>
      </c>
      <c r="M41" s="21" t="str">
        <f t="shared" ref="M41:M43" si="4">IF(OR(J41="", H41=""), "", ((H41/1000)*J41))</f>
        <v/>
      </c>
      <c r="P41" s="43"/>
    </row>
    <row r="42" spans="2:16" x14ac:dyDescent="0.25">
      <c r="B42" s="204"/>
      <c r="C42" s="205"/>
      <c r="D42" s="205"/>
      <c r="E42" s="205"/>
      <c r="F42" s="70"/>
      <c r="G42" s="70"/>
      <c r="H42" s="70"/>
      <c r="I42" s="70"/>
      <c r="J42" s="71"/>
      <c r="K42" s="20" t="str">
        <f t="shared" si="2"/>
        <v/>
      </c>
      <c r="L42" s="20" t="str">
        <f t="shared" si="3"/>
        <v/>
      </c>
      <c r="M42" s="20" t="str">
        <f t="shared" si="4"/>
        <v/>
      </c>
      <c r="P42" s="43"/>
    </row>
    <row r="43" spans="2:16" ht="15" thickBot="1" x14ac:dyDescent="0.3">
      <c r="B43" s="206"/>
      <c r="C43" s="207"/>
      <c r="D43" s="207"/>
      <c r="E43" s="207"/>
      <c r="F43" s="74"/>
      <c r="G43" s="74"/>
      <c r="H43" s="74"/>
      <c r="I43" s="74"/>
      <c r="J43" s="75"/>
      <c r="K43" s="31" t="str">
        <f t="shared" si="2"/>
        <v/>
      </c>
      <c r="L43" s="31" t="str">
        <f t="shared" si="3"/>
        <v/>
      </c>
      <c r="M43" s="31" t="str">
        <f t="shared" si="4"/>
        <v/>
      </c>
      <c r="N43" s="36"/>
      <c r="O43" s="36"/>
      <c r="P43" s="44"/>
    </row>
    <row r="44" spans="2:16" ht="15" customHeight="1" thickBot="1" x14ac:dyDescent="0.3"/>
    <row r="45" spans="2:16" ht="20.100000000000001" customHeight="1" thickBot="1" x14ac:dyDescent="0.3">
      <c r="B45" s="102" t="s">
        <v>122</v>
      </c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4"/>
    </row>
    <row r="46" spans="2:16" ht="15" customHeight="1" x14ac:dyDescent="0.25">
      <c r="B46" s="117" t="s">
        <v>121</v>
      </c>
      <c r="C46" s="118"/>
      <c r="D46" s="118"/>
      <c r="E46" s="118"/>
      <c r="F46" s="118" t="s">
        <v>104</v>
      </c>
      <c r="G46" s="118"/>
      <c r="H46" s="118"/>
      <c r="I46" s="118"/>
      <c r="J46" s="145"/>
      <c r="K46" s="129" t="s">
        <v>115</v>
      </c>
      <c r="L46" s="129"/>
      <c r="M46" s="129"/>
      <c r="N46" s="129" t="s">
        <v>130</v>
      </c>
      <c r="O46" s="129"/>
      <c r="P46" s="175"/>
    </row>
    <row r="47" spans="2:16" ht="15" customHeight="1" thickBot="1" x14ac:dyDescent="0.3">
      <c r="B47" s="137" t="s">
        <v>86</v>
      </c>
      <c r="C47" s="138"/>
      <c r="D47" s="171" t="str">
        <f>IF(OR(I28="", (J28=""), (I33=""), (J33="")),"Missing info.", IF(AND(J33+J34+J35&gt;=(0.01*J28),(I33+I34+I35&gt;=(0.01*I28))), "50%", "None"))</f>
        <v>None</v>
      </c>
      <c r="E47" s="172"/>
      <c r="F47" s="119" t="s">
        <v>87</v>
      </c>
      <c r="G47" s="120"/>
      <c r="H47" s="121"/>
      <c r="I47" s="125" t="s">
        <v>88</v>
      </c>
      <c r="J47" s="126"/>
      <c r="K47" s="135" t="str">
        <f>IF(K6="IIC","0.5*Ui ≥ Uo","Ui ≥ Uo")</f>
        <v>Ui ≥ Uo</v>
      </c>
      <c r="L47" s="136"/>
      <c r="M47" s="42" t="str">
        <f>IF(OR(H50="",J50=""),"",IF(K6="IIC",IF(0.5*H50&gt;=J50,"PASS","FAIL"),IF(H50&gt;=J50,"PASS","FAIL")))</f>
        <v>PASS</v>
      </c>
      <c r="N47" s="185" t="str">
        <f>C5</f>
        <v>xxxxx</v>
      </c>
      <c r="O47" s="186"/>
      <c r="P47" s="187"/>
    </row>
    <row r="48" spans="2:16" ht="15" customHeight="1" x14ac:dyDescent="0.25">
      <c r="B48" s="139"/>
      <c r="C48" s="140"/>
      <c r="D48" s="173"/>
      <c r="E48" s="174"/>
      <c r="F48" s="119"/>
      <c r="G48" s="120"/>
      <c r="H48" s="121"/>
      <c r="I48" s="125"/>
      <c r="J48" s="126"/>
      <c r="K48" s="133" t="str">
        <f>IF(K6="IIC","0.5*Ii ≥ Io","Ii ≥ Io")</f>
        <v>Ii ≥ Io</v>
      </c>
      <c r="L48" s="134"/>
      <c r="M48" s="28" t="str">
        <f>IF(OR(H51="",J51=""),"",IF(K6="IIC",IF(0.5*H51&gt;=J51,"PASS","FAIL"),IF(H51&gt;=J51,"PASS","FAIL")))</f>
        <v>PASS</v>
      </c>
      <c r="N48" s="130" t="s">
        <v>128</v>
      </c>
      <c r="O48" s="131"/>
      <c r="P48" s="132"/>
    </row>
    <row r="49" spans="2:19" ht="15" customHeight="1" x14ac:dyDescent="0.25">
      <c r="B49" s="139" t="s">
        <v>116</v>
      </c>
      <c r="C49" s="140"/>
      <c r="D49" s="156">
        <f>IF(D47="Missing info.","",IF(((('Helper Sheet'!G19-SUM(I33))/F40)*1000)&lt;(((('Helper Sheet'!G20-SUM(J33))/G40)*1000)),((('Helper Sheet'!G19-SUM(I33)/F40)*1000)),((('Helper Sheet'!G20-SUM(J33))/G40)*1000)))</f>
        <v>2999.5</v>
      </c>
      <c r="E49" s="157"/>
      <c r="F49" s="122"/>
      <c r="G49" s="123"/>
      <c r="H49" s="124"/>
      <c r="I49" s="127"/>
      <c r="J49" s="128"/>
      <c r="K49" s="133" t="str">
        <f>IF(K6="IIC","0.5*Pi ≥ Po","Pi ≥ Po")</f>
        <v>Pi ≥ Po</v>
      </c>
      <c r="L49" s="134"/>
      <c r="M49" s="28" t="str">
        <f>IF(OR(H52="",J52=""),"",IF(K6="IIC",IF(0.5*H52&gt;=J52,"PASS","FAIL"),IF(H52&gt;=J52,"PASS","FAIL")))</f>
        <v>PASS</v>
      </c>
      <c r="N49" s="179" t="s">
        <v>131</v>
      </c>
      <c r="O49" s="180"/>
      <c r="P49" s="181"/>
    </row>
    <row r="50" spans="2:19" ht="15.75" thickBot="1" x14ac:dyDescent="0.3">
      <c r="B50" s="141"/>
      <c r="C50" s="142"/>
      <c r="D50" s="158"/>
      <c r="E50" s="159"/>
      <c r="F50" s="152" t="s">
        <v>107</v>
      </c>
      <c r="G50" s="153"/>
      <c r="H50" s="38">
        <f>'Helper Sheet'!D16</f>
        <v>24</v>
      </c>
      <c r="I50" s="37" t="s">
        <v>108</v>
      </c>
      <c r="J50" s="28">
        <f>'Helper Sheet'!G16</f>
        <v>22.4</v>
      </c>
      <c r="K50" s="133" t="s">
        <v>101</v>
      </c>
      <c r="L50" s="134"/>
      <c r="M50" s="28" t="str">
        <f>IF(OR(H53="",J53=""),"",IF(H53&lt;=J53,"PASS","FAIL"))</f>
        <v>PASS</v>
      </c>
      <c r="N50" s="182"/>
      <c r="O50" s="183"/>
      <c r="P50" s="184"/>
    </row>
    <row r="51" spans="2:19" ht="15" x14ac:dyDescent="0.25">
      <c r="B51" s="168" t="s">
        <v>119</v>
      </c>
      <c r="C51" s="169"/>
      <c r="D51" s="169"/>
      <c r="E51" s="170"/>
      <c r="F51" s="152" t="s">
        <v>105</v>
      </c>
      <c r="G51" s="153"/>
      <c r="H51" s="38">
        <f>'Helper Sheet'!D17</f>
        <v>131</v>
      </c>
      <c r="I51" s="37" t="s">
        <v>109</v>
      </c>
      <c r="J51" s="28">
        <f>'Helper Sheet'!G17</f>
        <v>113.5</v>
      </c>
      <c r="K51" s="133" t="s">
        <v>102</v>
      </c>
      <c r="L51" s="134"/>
      <c r="M51" s="28" t="str">
        <f>IF(OR(H54="",J54=""),"",IF(H54&lt;=J54,"PASS","FAIL"))</f>
        <v>PASS</v>
      </c>
      <c r="N51" s="130" t="s">
        <v>129</v>
      </c>
      <c r="O51" s="131"/>
      <c r="P51" s="131"/>
    </row>
    <row r="52" spans="2:19" ht="15" customHeight="1" thickBot="1" x14ac:dyDescent="0.3">
      <c r="B52" s="32"/>
      <c r="C52" s="30" t="s">
        <v>8</v>
      </c>
      <c r="D52" s="30" t="s">
        <v>9</v>
      </c>
      <c r="E52" s="33" t="s">
        <v>3</v>
      </c>
      <c r="F52" s="152" t="s">
        <v>106</v>
      </c>
      <c r="G52" s="153"/>
      <c r="H52" s="38">
        <f>'Helper Sheet'!D18</f>
        <v>786</v>
      </c>
      <c r="I52" s="37" t="s">
        <v>110</v>
      </c>
      <c r="J52" s="28">
        <f>'Helper Sheet'!G18</f>
        <v>636</v>
      </c>
      <c r="K52" s="150" t="s">
        <v>103</v>
      </c>
      <c r="L52" s="151"/>
      <c r="M52" s="41" t="str">
        <f>IF(M50="","",IF((OR(J55="",H55="")),IF(M50="PASS","N/A","FAIL"),IF(H55&lt;=J55,"PASS")))</f>
        <v>N/A</v>
      </c>
      <c r="N52" s="179" t="s">
        <v>131</v>
      </c>
      <c r="O52" s="180"/>
      <c r="P52" s="181"/>
    </row>
    <row r="53" spans="2:19" ht="15.75" thickBot="1" x14ac:dyDescent="0.3">
      <c r="B53" s="34" t="s">
        <v>117</v>
      </c>
      <c r="C53" s="17" t="str">
        <f>_xlfn.XLOOKUP(J6,'Helper Sheet'!I5:I7,'Helper Sheet'!J5:J7,"")</f>
        <v>ib</v>
      </c>
      <c r="D53" s="17" t="str">
        <f>K6</f>
        <v>IIB</v>
      </c>
      <c r="E53" s="28" t="str">
        <f>L6</f>
        <v>T4</v>
      </c>
      <c r="F53" s="154" t="s">
        <v>113</v>
      </c>
      <c r="G53" s="155"/>
      <c r="H53" s="38">
        <f>'Helper Sheet'!D19</f>
        <v>0.2</v>
      </c>
      <c r="I53" s="37" t="s">
        <v>111</v>
      </c>
      <c r="J53" s="28">
        <f>'Helper Sheet'!G19</f>
        <v>16</v>
      </c>
      <c r="K53" s="130" t="s">
        <v>120</v>
      </c>
      <c r="L53" s="131"/>
      <c r="M53" s="132"/>
      <c r="N53" s="182"/>
      <c r="O53" s="183"/>
      <c r="P53" s="184"/>
    </row>
    <row r="54" spans="2:19" ht="15" x14ac:dyDescent="0.25">
      <c r="B54" s="34" t="s">
        <v>118</v>
      </c>
      <c r="C54" s="17" t="str">
        <f>IF(OR(L28="Not Found",M33="Not Found"),"Not Found",IF(OR(L28="ic",M33="ic",M34="ic",M35="ic"),"ic",IF(OR(L28="ib",M33="ib",M34="ib",M35="ib"),"ib",IF(OR(L28="ia",M33="ia",M34="ia",M35="ia"),"ia"))))</f>
        <v>ia</v>
      </c>
      <c r="D54" s="17" t="str">
        <f>IF(OR(M28="Not Found",N33="Not Found"),"Not Found",IF(OR(M28="IIA",N33="IIA",N34="IIA",N35="IIA"),"IIA",IF(OR(M28="IIB",N33="IIB",N34="IIB",N35="IIB"),"IIB",IF(OR(M28="IIC",N33="IIC",N34="IIC",N35="IIC"),"IIC"))))</f>
        <v>IIC</v>
      </c>
      <c r="E54" s="28" t="str">
        <f>IF(O33="Not Found","Not Found",IF(OR(O33="T1",O34="T1",O35="T1"),"T1",IF(OR(O33="T2",O34="T2",O35="T2"),"T2",IF(OR(O33="T3",O34="T3",O35="T3"),"T3",IF(OR(O33="T4",O34="T4",O35="T4"),"T4",IF(OR(O33="T5",O34="T5",O35="T5"),"T5",IF(OR(O33="T6",O34="T6",O35="T6"),"T6")))))))</f>
        <v>T6</v>
      </c>
      <c r="F54" s="154" t="s">
        <v>114</v>
      </c>
      <c r="G54" s="155"/>
      <c r="H54" s="38">
        <f>'Helper Sheet'!D20</f>
        <v>20.100000000000001</v>
      </c>
      <c r="I54" s="37" t="s">
        <v>112</v>
      </c>
      <c r="J54" s="28">
        <f>'Helper Sheet'!G20</f>
        <v>600</v>
      </c>
      <c r="K54" s="160" t="str">
        <f>IF(AND(C55="PASS",D55="PASS",E55="PASS",M47="PASS",M48="PASS",M49="PASS",M50="PASS",M51="PASS",OR(M52="PASS",M52="N/A",M52="")),"PASS","FAIL")</f>
        <v>PASS</v>
      </c>
      <c r="L54" s="161"/>
      <c r="M54" s="162"/>
      <c r="N54" s="130" t="s">
        <v>127</v>
      </c>
      <c r="O54" s="131"/>
      <c r="P54" s="131"/>
    </row>
    <row r="55" spans="2:19" ht="15.75" customHeight="1" thickBot="1" x14ac:dyDescent="0.3">
      <c r="B55" s="35" t="s">
        <v>120</v>
      </c>
      <c r="C55" s="18" t="str">
        <f>IF(OR(C53="",C54=""),"",IF(AND(C53="ia",C54="ia"),"PASS",IF(AND(C53="ib",OR(C54="ia",C54="ib")),"PASS",IF(AND(C53="ic",OR(C54="ic",C54="ib",C54="ia")),"PASS","FAIL"))))</f>
        <v>PASS</v>
      </c>
      <c r="D55" s="18" t="str">
        <f>IF(OR(D53="",D54=""),"",IF(AND(D53="IIC",D54="IIC"),"PASS",IF(AND(D53="IIB",OR(D54="IIC",D54="IIB")),"PASS",IF(AND(D53="IIA",OR(D54="IIA",D54="IIB",D54="IIC")),"PASS","FAIL"))))</f>
        <v>PASS</v>
      </c>
      <c r="E55" s="29" t="str">
        <f>IF(OR(E53="",E54=""),"",IF(AND(E53="T6",E54="T6"),"PASS",IF(AND(E53="T5",OR(E54="T6",E54="T5")),"PASS",IF(AND(E53="T4",OR(E54="T6",E54="T5",E54="T4")),"PASS",IF(AND(E53="T3",OR(E54="T6",E54="T5",E54="T4",E54="T3")),"PASS",IF(AND(E53="T2",OR(E54="T6",E54="T5",E54="T4",E54="T3",E54="T2")),"PASS",IF(AND(E53="T1",OR(E54="T6",E54="T5",E54="T4",E54="T3",E54="T2",E54="T1")),"PASS", "FAIL")))))))</f>
        <v>PASS</v>
      </c>
      <c r="F55" s="143" t="s">
        <v>99</v>
      </c>
      <c r="G55" s="144"/>
      <c r="H55" s="40">
        <f>'Helper Sheet'!D21</f>
        <v>5.4583333333333339E-4</v>
      </c>
      <c r="I55" s="39" t="s">
        <v>100</v>
      </c>
      <c r="J55" s="29" t="str">
        <f>'Helper Sheet'!G21</f>
        <v/>
      </c>
      <c r="K55" s="163"/>
      <c r="L55" s="164"/>
      <c r="M55" s="165"/>
      <c r="N55" s="176">
        <v>45810</v>
      </c>
      <c r="O55" s="177"/>
      <c r="P55" s="178"/>
    </row>
    <row r="56" spans="2:19" ht="15" thickBot="1" x14ac:dyDescent="0.3"/>
    <row r="57" spans="2:19" ht="20.100000000000001" customHeight="1" thickBot="1" x14ac:dyDescent="0.3">
      <c r="B57" s="102" t="s">
        <v>85</v>
      </c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4"/>
      <c r="Q57" s="3"/>
      <c r="R57" s="3"/>
      <c r="S57" s="3"/>
    </row>
    <row r="58" spans="2:19" ht="14.25" customHeight="1" x14ac:dyDescent="0.25">
      <c r="B58" s="56">
        <v>1</v>
      </c>
      <c r="C58" s="105" t="s">
        <v>123</v>
      </c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6"/>
      <c r="Q58" s="54"/>
      <c r="R58" s="54"/>
      <c r="S58" s="54"/>
    </row>
    <row r="59" spans="2:19" ht="14.25" customHeight="1" x14ac:dyDescent="0.25">
      <c r="B59" s="57">
        <v>2</v>
      </c>
      <c r="C59" s="115" t="s">
        <v>124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6"/>
      <c r="Q59" s="54"/>
      <c r="R59" s="54"/>
      <c r="S59" s="54"/>
    </row>
    <row r="60" spans="2:19" ht="14.25" customHeight="1" x14ac:dyDescent="0.25">
      <c r="B60" s="58">
        <v>3</v>
      </c>
      <c r="C60" s="113" t="s">
        <v>125</v>
      </c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4"/>
      <c r="Q60" s="54"/>
      <c r="R60" s="54"/>
      <c r="S60" s="54"/>
    </row>
    <row r="61" spans="2:19" x14ac:dyDescent="0.25">
      <c r="B61" s="57">
        <v>4</v>
      </c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2"/>
      <c r="Q61" s="55"/>
      <c r="R61" s="55"/>
      <c r="S61" s="55"/>
    </row>
    <row r="62" spans="2:19" x14ac:dyDescent="0.25">
      <c r="B62" s="58">
        <v>5</v>
      </c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10"/>
      <c r="Q62" s="55"/>
      <c r="R62" s="55"/>
      <c r="S62" s="55"/>
    </row>
    <row r="63" spans="2:19" ht="15" thickBot="1" x14ac:dyDescent="0.3">
      <c r="B63" s="59">
        <v>6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8"/>
      <c r="Q63" s="55"/>
      <c r="R63" s="55"/>
      <c r="S63" s="55"/>
    </row>
  </sheetData>
  <sheetProtection sheet="1" objects="1" scenarios="1" formatCells="0" formatRows="0" selectLockedCells="1"/>
  <mergeCells count="123">
    <mergeCell ref="M20:O20"/>
    <mergeCell ref="K20:L20"/>
    <mergeCell ref="H20:J20"/>
    <mergeCell ref="F20:G20"/>
    <mergeCell ref="D20:E20"/>
    <mergeCell ref="B20:C20"/>
    <mergeCell ref="N4:P6"/>
    <mergeCell ref="M19:O19"/>
    <mergeCell ref="K19:L19"/>
    <mergeCell ref="H19:J19"/>
    <mergeCell ref="F19:G19"/>
    <mergeCell ref="D19:E19"/>
    <mergeCell ref="B19:C19"/>
    <mergeCell ref="B18:P18"/>
    <mergeCell ref="C5:H5"/>
    <mergeCell ref="B4:H4"/>
    <mergeCell ref="C6:H6"/>
    <mergeCell ref="J4:L4"/>
    <mergeCell ref="K21:L21"/>
    <mergeCell ref="M21:O21"/>
    <mergeCell ref="B22:C22"/>
    <mergeCell ref="D22:E22"/>
    <mergeCell ref="F22:G22"/>
    <mergeCell ref="H22:J22"/>
    <mergeCell ref="K22:L22"/>
    <mergeCell ref="M22:O22"/>
    <mergeCell ref="B21:C21"/>
    <mergeCell ref="D21:E21"/>
    <mergeCell ref="F21:G21"/>
    <mergeCell ref="H21:J21"/>
    <mergeCell ref="F26:F27"/>
    <mergeCell ref="H26:H27"/>
    <mergeCell ref="I26:I27"/>
    <mergeCell ref="J26:J27"/>
    <mergeCell ref="K26:K27"/>
    <mergeCell ref="B23:C23"/>
    <mergeCell ref="D23:E23"/>
    <mergeCell ref="F23:G23"/>
    <mergeCell ref="H23:J23"/>
    <mergeCell ref="K23:L23"/>
    <mergeCell ref="B25:P25"/>
    <mergeCell ref="L26:M26"/>
    <mergeCell ref="D26:E27"/>
    <mergeCell ref="B26:C27"/>
    <mergeCell ref="M23:O23"/>
    <mergeCell ref="B42:C42"/>
    <mergeCell ref="D42:E42"/>
    <mergeCell ref="B43:C43"/>
    <mergeCell ref="D43:E43"/>
    <mergeCell ref="G38:G39"/>
    <mergeCell ref="H38:H39"/>
    <mergeCell ref="I38:I39"/>
    <mergeCell ref="J38:J39"/>
    <mergeCell ref="K38:M38"/>
    <mergeCell ref="B40:C40"/>
    <mergeCell ref="D40:E40"/>
    <mergeCell ref="B38:C39"/>
    <mergeCell ref="D38:E39"/>
    <mergeCell ref="F38:F39"/>
    <mergeCell ref="B37:P37"/>
    <mergeCell ref="D35:E35"/>
    <mergeCell ref="B35:C35"/>
    <mergeCell ref="D34:E34"/>
    <mergeCell ref="B34:C34"/>
    <mergeCell ref="B41:C41"/>
    <mergeCell ref="D41:E41"/>
    <mergeCell ref="J31:J32"/>
    <mergeCell ref="B33:C33"/>
    <mergeCell ref="D33:E33"/>
    <mergeCell ref="M31:O31"/>
    <mergeCell ref="K31:L31"/>
    <mergeCell ref="H31:H32"/>
    <mergeCell ref="B31:C32"/>
    <mergeCell ref="D31:E32"/>
    <mergeCell ref="I31:I32"/>
    <mergeCell ref="B28:C28"/>
    <mergeCell ref="D28:E28"/>
    <mergeCell ref="G26:G27"/>
    <mergeCell ref="K52:L52"/>
    <mergeCell ref="F50:G50"/>
    <mergeCell ref="F51:G51"/>
    <mergeCell ref="F52:G52"/>
    <mergeCell ref="F53:G53"/>
    <mergeCell ref="F54:G54"/>
    <mergeCell ref="D49:E50"/>
    <mergeCell ref="K54:M55"/>
    <mergeCell ref="G31:G32"/>
    <mergeCell ref="F31:F32"/>
    <mergeCell ref="B51:E51"/>
    <mergeCell ref="B45:P45"/>
    <mergeCell ref="D47:E48"/>
    <mergeCell ref="N51:P51"/>
    <mergeCell ref="N48:P48"/>
    <mergeCell ref="N46:P46"/>
    <mergeCell ref="N55:P55"/>
    <mergeCell ref="N52:P53"/>
    <mergeCell ref="N49:P50"/>
    <mergeCell ref="N47:P47"/>
    <mergeCell ref="B30:P30"/>
    <mergeCell ref="B2:P2"/>
    <mergeCell ref="B8:P8"/>
    <mergeCell ref="B57:P57"/>
    <mergeCell ref="C58:P58"/>
    <mergeCell ref="C63:P63"/>
    <mergeCell ref="C62:P62"/>
    <mergeCell ref="C61:P61"/>
    <mergeCell ref="C60:P60"/>
    <mergeCell ref="C59:P59"/>
    <mergeCell ref="B46:E46"/>
    <mergeCell ref="F47:H49"/>
    <mergeCell ref="I47:J49"/>
    <mergeCell ref="K46:M46"/>
    <mergeCell ref="K53:M53"/>
    <mergeCell ref="K51:L51"/>
    <mergeCell ref="K50:L50"/>
    <mergeCell ref="K49:L49"/>
    <mergeCell ref="K48:L48"/>
    <mergeCell ref="K47:L47"/>
    <mergeCell ref="B47:C48"/>
    <mergeCell ref="B49:C50"/>
    <mergeCell ref="F55:G55"/>
    <mergeCell ref="F46:J46"/>
    <mergeCell ref="N54:P54"/>
  </mergeCells>
  <phoneticPr fontId="2" type="noConversion"/>
  <conditionalFormatting sqref="M47:M52 K54 C55:E55">
    <cfRule type="cellIs" dxfId="1" priority="1" operator="equal">
      <formula>"PASS"</formula>
    </cfRule>
    <cfRule type="cellIs" dxfId="0" priority="2" operator="equal">
      <formula>"FAIL"</formula>
    </cfRule>
  </conditionalFormatting>
  <pageMargins left="0.7" right="0.7" top="0.75" bottom="0.75" header="0.3" footer="0.3"/>
  <pageSetup paperSize="9" scale="6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34464F-9487-4270-A452-7B8C758562E2}">
          <x14:formula1>
            <xm:f>'Helper Sheet'!$B$4:$B$7</xm:f>
          </x14:formula1>
          <xm:sqref>J6</xm:sqref>
        </x14:dataValidation>
        <x14:dataValidation type="list" allowBlank="1" showInputMessage="1" showErrorMessage="1" xr:uid="{B6C4450D-C8F0-4A60-947D-F30E680DAC35}">
          <x14:formula1>
            <xm:f>'Helper Sheet'!$C$4:$C$7</xm:f>
          </x14:formula1>
          <xm:sqref>K6</xm:sqref>
        </x14:dataValidation>
        <x14:dataValidation type="list" allowBlank="1" showInputMessage="1" showErrorMessage="1" xr:uid="{2313309D-D67C-43D5-BA97-2509FDAF7798}">
          <x14:formula1>
            <xm:f>'Helper Sheet'!$D$4:$D$10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5E74-197F-4A26-82DE-AF3ED50F8ED8}">
  <sheetPr codeName="Sheet2"/>
  <dimension ref="B2:K21"/>
  <sheetViews>
    <sheetView workbookViewId="0">
      <selection activeCell="D16" sqref="D16"/>
    </sheetView>
  </sheetViews>
  <sheetFormatPr defaultRowHeight="15" x14ac:dyDescent="0.25"/>
  <sheetData>
    <row r="2" spans="2:11" x14ac:dyDescent="0.25">
      <c r="B2" t="s">
        <v>11</v>
      </c>
    </row>
    <row r="3" spans="2:11" x14ac:dyDescent="0.25">
      <c r="B3" t="s">
        <v>1</v>
      </c>
      <c r="C3" t="s">
        <v>2</v>
      </c>
      <c r="D3" t="s">
        <v>3</v>
      </c>
      <c r="H3" t="s">
        <v>20</v>
      </c>
    </row>
    <row r="4" spans="2:11" x14ac:dyDescent="0.25">
      <c r="B4" t="s">
        <v>4</v>
      </c>
      <c r="C4" t="s">
        <v>6</v>
      </c>
      <c r="D4" t="s">
        <v>15</v>
      </c>
      <c r="J4" t="s">
        <v>8</v>
      </c>
      <c r="K4" t="s">
        <v>10</v>
      </c>
    </row>
    <row r="5" spans="2:11" x14ac:dyDescent="0.25">
      <c r="B5" t="s">
        <v>5</v>
      </c>
      <c r="C5" t="s">
        <v>13</v>
      </c>
      <c r="D5" t="s">
        <v>16</v>
      </c>
      <c r="G5" t="s">
        <v>0</v>
      </c>
      <c r="H5" t="s">
        <v>1</v>
      </c>
      <c r="I5" t="s">
        <v>4</v>
      </c>
      <c r="J5" t="s">
        <v>21</v>
      </c>
      <c r="K5" t="s">
        <v>24</v>
      </c>
    </row>
    <row r="6" spans="2:11" x14ac:dyDescent="0.25">
      <c r="B6" t="s">
        <v>12</v>
      </c>
      <c r="C6" t="s">
        <v>14</v>
      </c>
      <c r="D6" t="s">
        <v>17</v>
      </c>
      <c r="I6" t="s">
        <v>5</v>
      </c>
      <c r="J6" t="s">
        <v>22</v>
      </c>
      <c r="K6" t="s">
        <v>25</v>
      </c>
    </row>
    <row r="7" spans="2:11" x14ac:dyDescent="0.25">
      <c r="D7" t="s">
        <v>18</v>
      </c>
      <c r="I7" t="s">
        <v>12</v>
      </c>
      <c r="J7" t="s">
        <v>23</v>
      </c>
      <c r="K7" t="s">
        <v>26</v>
      </c>
    </row>
    <row r="8" spans="2:11" x14ac:dyDescent="0.25">
      <c r="D8" t="s">
        <v>7</v>
      </c>
    </row>
    <row r="9" spans="2:11" x14ac:dyDescent="0.25">
      <c r="D9" t="s">
        <v>19</v>
      </c>
    </row>
    <row r="12" spans="2:11" x14ac:dyDescent="0.25">
      <c r="B12" s="246" t="s">
        <v>87</v>
      </c>
      <c r="C12" s="247"/>
      <c r="D12" s="247"/>
      <c r="E12" s="247" t="s">
        <v>88</v>
      </c>
      <c r="F12" s="247"/>
      <c r="G12" s="247"/>
    </row>
    <row r="13" spans="2:11" x14ac:dyDescent="0.25">
      <c r="B13" s="246"/>
      <c r="C13" s="247"/>
      <c r="D13" s="247"/>
      <c r="E13" s="247"/>
      <c r="F13" s="247"/>
      <c r="G13" s="247"/>
    </row>
    <row r="14" spans="2:11" x14ac:dyDescent="0.25">
      <c r="B14" s="246"/>
      <c r="C14" s="247"/>
      <c r="D14" s="247"/>
      <c r="E14" s="247"/>
      <c r="F14" s="247"/>
      <c r="G14" s="247"/>
    </row>
    <row r="15" spans="2:11" x14ac:dyDescent="0.25">
      <c r="B15" s="246"/>
      <c r="C15" s="247"/>
      <c r="D15" s="248"/>
      <c r="E15" s="247"/>
      <c r="F15" s="247"/>
      <c r="G15" s="248"/>
    </row>
    <row r="16" spans="2:11" x14ac:dyDescent="0.25">
      <c r="B16" s="244" t="s">
        <v>89</v>
      </c>
      <c r="C16" s="245"/>
      <c r="D16" s="8">
        <f>IF(MIN('Proof of I.S'!F33:F35)=0,"",MIN('Proof of I.S'!F33:F35))</f>
        <v>24</v>
      </c>
      <c r="E16" s="245" t="s">
        <v>90</v>
      </c>
      <c r="F16" s="245"/>
      <c r="G16" s="8">
        <f>IF('Proof of I.S'!F28="","",'Proof of I.S'!F28)</f>
        <v>22.4</v>
      </c>
    </row>
    <row r="17" spans="2:7" x14ac:dyDescent="0.25">
      <c r="B17" s="244" t="s">
        <v>91</v>
      </c>
      <c r="C17" s="245"/>
      <c r="D17" s="26">
        <f>IF(MIN('Proof of I.S'!G33:G35)=0,"",MIN('Proof of I.S'!G33:G35))</f>
        <v>131</v>
      </c>
      <c r="E17" s="245" t="s">
        <v>92</v>
      </c>
      <c r="F17" s="245"/>
      <c r="G17" s="26">
        <f>IF('Proof of I.S'!G28="","",'Proof of I.S'!G28)</f>
        <v>113.5</v>
      </c>
    </row>
    <row r="18" spans="2:7" x14ac:dyDescent="0.25">
      <c r="B18" s="244" t="s">
        <v>93</v>
      </c>
      <c r="C18" s="245"/>
      <c r="D18" s="26">
        <f>IF(MIN('Proof of I.S'!H33:H35)=0,"",MIN('Proof of I.S'!H33:H35))</f>
        <v>786</v>
      </c>
      <c r="E18" s="245" t="s">
        <v>94</v>
      </c>
      <c r="F18" s="245"/>
      <c r="G18" s="26">
        <f>IF('Proof of I.S'!H28="","",'Proof of I.S'!H28)</f>
        <v>636</v>
      </c>
    </row>
    <row r="19" spans="2:7" x14ac:dyDescent="0.25">
      <c r="B19" s="244" t="s">
        <v>95</v>
      </c>
      <c r="C19" s="245"/>
      <c r="D19" s="26">
        <f>IF(OR(SUM('Proof of I.S'!I33:I35)=0,SUM('Proof of I.S'!K40:K43)=0),"",SUM('Proof of I.S'!I33:I35)+SUM('Proof of I.S'!K40:K43))</f>
        <v>0.2</v>
      </c>
      <c r="E19" s="245" t="s">
        <v>96</v>
      </c>
      <c r="F19" s="245"/>
      <c r="G19" s="26">
        <f>IF('Proof of I.S'!I28="","",IF('Proof of I.S'!D47="50%", 0.5*'Proof of I.S'!I28, 'Proof of I.S'!I28))</f>
        <v>16</v>
      </c>
    </row>
    <row r="20" spans="2:7" x14ac:dyDescent="0.25">
      <c r="B20" s="244" t="s">
        <v>97</v>
      </c>
      <c r="C20" s="245"/>
      <c r="D20" s="26">
        <f>IF(OR(SUM('Proof of I.S'!J33:J35)=0,SUM('Proof of I.S'!L40:L43)=0),"",SUM('Proof of I.S'!J33:J35)+SUM('Proof of I.S'!L40:L43))</f>
        <v>20.100000000000001</v>
      </c>
      <c r="E20" s="245" t="s">
        <v>98</v>
      </c>
      <c r="F20" s="245"/>
      <c r="G20" s="26">
        <f>IF('Proof of I.S'!J28="","",IF('Proof of I.S'!D47="50%", 0.5*'Proof of I.S'!J28,'Proof of I.S'!J28))</f>
        <v>600</v>
      </c>
    </row>
    <row r="21" spans="2:7" ht="15.75" thickBot="1" x14ac:dyDescent="0.3">
      <c r="B21" s="242" t="s">
        <v>99</v>
      </c>
      <c r="C21" s="243"/>
      <c r="D21" s="27">
        <f>IF(SUM('Proof of I.S'!L33:L35)+SUM('Proof of I.S'!I40:I43)=0,"",SUM('Proof of I.S'!L33:L35)+SUM('Proof of I.S'!I40:I43))</f>
        <v>5.4583333333333339E-4</v>
      </c>
      <c r="E21" s="243" t="s">
        <v>100</v>
      </c>
      <c r="F21" s="243"/>
      <c r="G21" s="9" t="str">
        <f>IF('Proof of I.S'!K28="","",'Proof of I.S'!K28)</f>
        <v/>
      </c>
    </row>
  </sheetData>
  <mergeCells count="14">
    <mergeCell ref="B12:D15"/>
    <mergeCell ref="E12:G15"/>
    <mergeCell ref="B16:C16"/>
    <mergeCell ref="E16:F16"/>
    <mergeCell ref="B17:C17"/>
    <mergeCell ref="E17:F17"/>
    <mergeCell ref="B21:C21"/>
    <mergeCell ref="E21:F21"/>
    <mergeCell ref="B18:C18"/>
    <mergeCell ref="E18:F18"/>
    <mergeCell ref="B19:C19"/>
    <mergeCell ref="E19:F19"/>
    <mergeCell ref="B20:C20"/>
    <mergeCell ref="E20:F20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Proof of I.S</vt:lpstr>
      <vt:lpstr>Helper Sheet</vt:lpstr>
      <vt:lpstr>'Proof of I.S'!Print_Area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Proof of Intrinsic Safety</dc:title>
  <dc:creator>Nathan Havery</dc:creator>
  <cp:lastModifiedBy>Nathan Havery</cp:lastModifiedBy>
  <cp:lastPrinted>2025-06-02T17:01:58Z</cp:lastPrinted>
  <dcterms:created xsi:type="dcterms:W3CDTF">2025-05-30T14:01:43Z</dcterms:created>
  <dcterms:modified xsi:type="dcterms:W3CDTF">2025-06-02T19:08:24Z</dcterms:modified>
</cp:coreProperties>
</file>